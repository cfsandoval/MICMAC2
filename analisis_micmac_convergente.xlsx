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Base_Variables" sheetId="1" state="visible" r:id="rId1"/>
    <sheet name="2_Base_Matriz_Directa" sheetId="2" state="visible" r:id="rId2"/>
    <sheet name="3_Base_Justificaciones" sheetId="3" state="visible" r:id="rId3"/>
    <sheet name="4_Matriz_A_Polaridad" sheetId="4" state="visible" r:id="rId4"/>
    <sheet name="5_Matriz_T_Retardos" sheetId="5" state="visible" r:id="rId5"/>
    <sheet name="6_Matriz_W_Efectiva" sheetId="6" state="visible" r:id="rId6"/>
    <sheet name="7_Matriz_S_Bruta_Leontief" sheetId="7" state="visible" r:id="rId7"/>
    <sheet name="8_Matriz_S_Neta_Leontief" sheetId="8" state="visible" r:id="rId8"/>
    <sheet name="9_Flujos_Netos_Indirectos" sheetId="9" state="visible" r:id="rId9"/>
    <sheet name="10_Indicadores_4D" sheetId="10" state="visible" r:id="rId10"/>
    <sheet name="11_Diagnostico_Prospectivo" sheetId="11" state="visible" r:id="rId11"/>
    <sheet name="12_Graficos_Estructura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1D4ED8"/>
      <sz val="11"/>
    </font>
    <font>
      <name val="Calibri"/>
      <b val="1"/>
      <color rgb="00B91C1C"/>
      <sz val="11"/>
    </font>
    <font>
      <name val="Calibri"/>
      <b val="1"/>
      <color rgb="00047857"/>
      <sz val="11"/>
    </font>
    <font>
      <name val="Calibri"/>
      <b val="1"/>
      <color rgb="00BE123C"/>
      <sz val="11"/>
    </font>
    <font>
      <name val="Calibri"/>
      <b val="1"/>
      <color rgb="006B7280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164" fontId="0" fillId="0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5" borderId="0" pivotButton="0" quotePrefix="0" xfId="0"/>
    <xf numFmtId="0" fontId="3" fillId="6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Plano Dinámico (Motricidad Neta vs. Dependencia Neta)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9"/>
            <spPr>
              <a:ln>
                <a:prstDash val="solid"/>
              </a:ln>
            </spPr>
          </marker>
          <xVal>
            <numRef>
              <f>'10_Indicadores_4D'!$F$5:$F$13</f>
            </numRef>
          </xVal>
          <yVal>
            <numRef>
              <f>'10_Indicadores_4D'!$E$5:$E$13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Dependencia Neta (Dⁿᵉᵗᵃ)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Motricidad Neta (Mⁿᵉᵗᵃ)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Desplazamiento: Motricidad Clásica vs. Neta Dinámica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'10_Indicadores_4D'!B4</f>
            </strRef>
          </tx>
          <spPr>
            <a:ln>
              <a:prstDash val="solid"/>
            </a:ln>
          </spPr>
          <cat>
            <numRef>
              <f>'10_Indicadores_4D'!$A$5:$A$13</f>
            </numRef>
          </cat>
          <val>
            <numRef>
              <f>'10_Indicadores_4D'!$B$5:$B$13</f>
            </numRef>
          </val>
        </ser>
        <ser>
          <idx val="1"/>
          <order val="1"/>
          <tx>
            <strRef>
              <f>'10_Indicadores_4D'!E4</f>
            </strRef>
          </tx>
          <spPr>
            <a:ln>
              <a:prstDash val="solid"/>
            </a:ln>
          </spPr>
          <cat>
            <numRef>
              <f>'10_Indicadores_4D'!$A$5:$A$13</f>
            </numRef>
          </cat>
          <val>
            <numRef>
              <f>'10_Indicadores_4D'!$E$5:$E$13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Intensidad Motriz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1. Plano Estructural Dinámico 4D (Motricidad Neta vs. Dependencia Neta)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10"/>
            <spPr>
              <a:ln>
                <a:prstDash val="solid"/>
              </a:ln>
            </spPr>
          </marker>
          <xVal>
            <numRef>
              <f>'10_Indicadores_4D'!$F$5:$F$13</f>
            </numRef>
          </xVal>
          <yVal>
            <numRef>
              <f>'10_Indicadores_4D'!$E$5:$E$13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Dependencia Neta Efectiva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Motricidad Neta Efectiva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2. Comparativa: Motricidad Clásica (Godet) vs. Neta (Katz-Bonacich)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'10_Indicadores_4D'!B4</f>
            </strRef>
          </tx>
          <spPr>
            <a:ln>
              <a:prstDash val="solid"/>
            </a:ln>
          </spPr>
          <cat>
            <numRef>
              <f>'10_Indicadores_4D'!$A$5:$A$13</f>
            </numRef>
          </cat>
          <val>
            <numRef>
              <f>'10_Indicadores_4D'!$B$5:$B$13</f>
            </numRef>
          </val>
        </ser>
        <ser>
          <idx val="1"/>
          <order val="1"/>
          <tx>
            <strRef>
              <f>'10_Indicadores_4D'!E4</f>
            </strRef>
          </tx>
          <spPr>
            <a:ln>
              <a:prstDash val="solid"/>
            </a:ln>
          </spPr>
          <cat>
            <numRef>
              <f>'10_Indicadores_4D'!$A$5:$A$13</f>
            </numRef>
          </cat>
          <val>
            <numRef>
              <f>'10_Indicadores_4D'!$E$5:$E$13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Intensidad de Motricidad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3. Retorno Sistémico / Bucle Propio F (+ Amplificador / − Regulador)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'10_Indicadores_4D'!I4</f>
            </strRef>
          </tx>
          <spPr>
            <a:ln>
              <a:prstDash val="solid"/>
            </a:ln>
          </spPr>
          <cat>
            <numRef>
              <f>'10_Indicadores_4D'!$A$5:$A$13</f>
            </numRef>
          </cat>
          <val>
            <numRef>
              <f>'10_Indicadores_4D'!$I$5:$I$13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Bucle F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4. Índice de Ambigüedad y Contradicción Estructural Ω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'10_Indicadores_4D'!J4</f>
            </strRef>
          </tx>
          <spPr>
            <a:ln>
              <a:prstDash val="solid"/>
            </a:ln>
          </spPr>
          <cat>
            <numRef>
              <f>'10_Indicadores_4D'!$A$5:$A$13</f>
            </numRef>
          </cat>
          <val>
            <numRef>
              <f>'10_Indicadores_4D'!$J$5:$J$13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Contradicción Sistémica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24</row>
      <rowOff>0</rowOff>
    </from>
    <ext cx="61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27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3" customWidth="1" min="3" max="3"/>
    <col width="21" customWidth="1" min="4" max="4"/>
  </cols>
  <sheetData>
    <row r="1">
      <c r="A1" s="1" t="inlineStr">
        <is>
          <t>BASE ORIGINAL · VARIABLES DEL SISTEMA</t>
        </is>
      </c>
    </row>
    <row r="2">
      <c r="A2" s="2" t="inlineStr">
        <is>
          <t>Definición institucional, mecanismo conceptual y valor basal inicial (x₀)</t>
        </is>
      </c>
    </row>
    <row r="3"/>
    <row r="4">
      <c r="A4" s="3" t="inlineStr">
        <is>
          <t>Código</t>
        </is>
      </c>
      <c r="B4" s="3" t="inlineStr">
        <is>
          <t>Nombre de la Variable</t>
        </is>
      </c>
      <c r="C4" s="3" t="inlineStr">
        <is>
          <t>Definición y Alcance Conceptual</t>
        </is>
      </c>
      <c r="D4" s="3" t="inlineStr">
        <is>
          <t>Valor Inicial (x₀)</t>
        </is>
      </c>
    </row>
    <row r="5">
      <c r="A5" s="4" t="inlineStr">
        <is>
          <t>LID</t>
        </is>
      </c>
      <c r="B5" s="5" t="inlineStr">
        <is>
          <t>Liderazgo directivo</t>
        </is>
      </c>
      <c r="C5" s="6" t="inlineStr">
        <is>
          <t>Capacidad de la dirección de fijar prioridades, patrocinar proyectos y comunicar el rumbo.</t>
        </is>
      </c>
      <c r="D5" s="7" t="n">
        <v>60</v>
      </c>
    </row>
    <row r="6">
      <c r="A6" s="4" t="inlineStr">
        <is>
          <t>INV</t>
        </is>
      </c>
      <c r="B6" s="5" t="inlineStr">
        <is>
          <t>Inversión y presupuesto</t>
        </is>
      </c>
      <c r="C6" s="6" t="inlineStr">
        <is>
          <t>Recursos económicos disponibles para tecnología, formación y mantenimiento.</t>
        </is>
      </c>
      <c r="D6" s="7" t="n">
        <v>50</v>
      </c>
    </row>
    <row r="7">
      <c r="A7" s="4" t="inlineStr">
        <is>
          <t>INF</t>
        </is>
      </c>
      <c r="B7" s="5" t="inlineStr">
        <is>
          <t>Infraestructura tecnológica</t>
        </is>
      </c>
      <c r="C7" s="6" t="inlineStr">
        <is>
          <t>Plataformas, conectividad, equipos y soporte técnico.</t>
        </is>
      </c>
      <c r="D7" s="7" t="n">
        <v>45</v>
      </c>
    </row>
    <row r="8">
      <c r="A8" s="4" t="inlineStr">
        <is>
          <t>COM</t>
        </is>
      </c>
      <c r="B8" s="5" t="inlineStr">
        <is>
          <t>Competencias docentes</t>
        </is>
      </c>
      <c r="C8" s="6" t="inlineStr">
        <is>
          <t>Dominio pedagógico y digital del cuerpo docente.</t>
        </is>
      </c>
      <c r="D8" s="7" t="n">
        <v>40</v>
      </c>
    </row>
    <row r="9">
      <c r="A9" s="4" t="inlineStr">
        <is>
          <t>CUL</t>
        </is>
      </c>
      <c r="B9" s="5" t="inlineStr">
        <is>
          <t>Cultura de innovación</t>
        </is>
      </c>
      <c r="C9" s="6" t="inlineStr">
        <is>
          <t>Disposición colectiva a experimentar, compartir y aprender de errores.</t>
        </is>
      </c>
      <c r="D9" s="7" t="n">
        <v>40</v>
      </c>
    </row>
    <row r="10">
      <c r="A10" s="4" t="inlineStr">
        <is>
          <t>EXP</t>
        </is>
      </c>
      <c r="B10" s="5" t="inlineStr">
        <is>
          <t>Experiencia estudiantil</t>
        </is>
      </c>
      <c r="C10" s="6" t="inlineStr">
        <is>
          <t>Calidad percibida del aprendizaje y de los servicios.</t>
        </is>
      </c>
      <c r="D10" s="7" t="n">
        <v>50</v>
      </c>
    </row>
    <row r="11">
      <c r="A11" s="4" t="inlineStr">
        <is>
          <t>RES</t>
        </is>
      </c>
      <c r="B11" s="5" t="inlineStr">
        <is>
          <t>Resistencia al cambio</t>
        </is>
      </c>
      <c r="C11" s="6" t="inlineStr">
        <is>
          <t>Oposición activa o pasiva a nuevas formas de trabajo.</t>
        </is>
      </c>
      <c r="D11" s="7" t="n">
        <v>60</v>
      </c>
    </row>
    <row r="12">
      <c r="A12" s="4" t="inlineStr">
        <is>
          <t>RET</t>
        </is>
      </c>
      <c r="B12" s="5" t="inlineStr">
        <is>
          <t>Retención estudiantil</t>
        </is>
      </c>
      <c r="C12" s="6" t="inlineStr">
        <is>
          <t>Proporción de estudiantes que continúan sus estudios.</t>
        </is>
      </c>
      <c r="D12" s="7" t="n">
        <v>55</v>
      </c>
    </row>
    <row r="13">
      <c r="A13" s="4" t="inlineStr">
        <is>
          <t>NOR</t>
        </is>
      </c>
      <c r="B13" s="5" t="inlineStr">
        <is>
          <t>Normativa y acreditación</t>
        </is>
      </c>
      <c r="C13" s="6" t="inlineStr">
        <is>
          <t>Exigencias externas de calidad y regulación (variable exógena).</t>
        </is>
      </c>
      <c r="D13" s="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  <col width="15" customWidth="1" min="11" max="11"/>
  </cols>
  <sheetData>
    <row r="1">
      <c r="A1" s="1" t="inlineStr">
        <is>
          <t>BASE ORIGINAL · MATRIZ DE INFLUENCIAS DIRECTAS</t>
        </is>
      </c>
    </row>
    <row r="2">
      <c r="A2" s="2" t="inlineStr">
        <is>
          <t>Lectura Fila → Columna. Signo (+ refuerzo, - inhibición). Sumas en valor absoluto |A|.</t>
        </is>
      </c>
    </row>
    <row r="3"/>
    <row r="4">
      <c r="A4" s="3" t="inlineStr">
        <is>
          <t>Variable (Fila \ Col)</t>
        </is>
      </c>
      <c r="B4" s="3" t="inlineStr">
        <is>
          <t>LID · Liderazgo directivo</t>
        </is>
      </c>
      <c r="C4" s="3" t="inlineStr">
        <is>
          <t>INV · Inversión y presupuesto</t>
        </is>
      </c>
      <c r="D4" s="3" t="inlineStr">
        <is>
          <t>INF · Infraestructura tecnológica</t>
        </is>
      </c>
      <c r="E4" s="3" t="inlineStr">
        <is>
          <t>COM · Competencias docentes</t>
        </is>
      </c>
      <c r="F4" s="3" t="inlineStr">
        <is>
          <t>CUL · Cultura de innovación</t>
        </is>
      </c>
      <c r="G4" s="3" t="inlineStr">
        <is>
          <t>EXP · Experiencia estudiantil</t>
        </is>
      </c>
      <c r="H4" s="3" t="inlineStr">
        <is>
          <t>RES · Resistencia al cambio</t>
        </is>
      </c>
      <c r="I4" s="3" t="inlineStr">
        <is>
          <t>RET · Retención estudiantil</t>
        </is>
      </c>
      <c r="J4" s="3" t="inlineStr">
        <is>
          <t>NOR · Normativa y acreditación</t>
        </is>
      </c>
      <c r="K4" s="3" t="inlineStr">
        <is>
          <t>Σ Influencia</t>
        </is>
      </c>
    </row>
    <row r="5">
      <c r="A5" s="5" t="inlineStr">
        <is>
          <t>LID · Liderazgo directivo</t>
        </is>
      </c>
      <c r="B5" s="8" t="inlineStr">
        <is>
          <t>—</t>
        </is>
      </c>
      <c r="C5" s="9" t="n">
        <v>3</v>
      </c>
      <c r="D5" s="4" t="n">
        <v>0</v>
      </c>
      <c r="E5" s="9" t="n">
        <v>2</v>
      </c>
      <c r="F5" s="9" t="n">
        <v>3</v>
      </c>
      <c r="G5" s="4" t="n">
        <v>0</v>
      </c>
      <c r="H5" s="10" t="n">
        <v>-2</v>
      </c>
      <c r="I5" s="4" t="n">
        <v>0</v>
      </c>
      <c r="J5" s="4" t="n">
        <v>0</v>
      </c>
      <c r="K5" s="11" t="n">
        <v>10</v>
      </c>
    </row>
    <row r="6">
      <c r="A6" s="5" t="inlineStr">
        <is>
          <t>INV · Inversión y presupuesto</t>
        </is>
      </c>
      <c r="B6" s="4" t="n">
        <v>0</v>
      </c>
      <c r="C6" s="8" t="inlineStr">
        <is>
          <t>—</t>
        </is>
      </c>
      <c r="D6" s="9" t="n">
        <v>3</v>
      </c>
      <c r="E6" s="9" t="n">
        <v>2</v>
      </c>
      <c r="F6" s="4" t="n">
        <v>0</v>
      </c>
      <c r="G6" s="9" t="n">
        <v>1</v>
      </c>
      <c r="H6" s="4" t="n">
        <v>0</v>
      </c>
      <c r="I6" s="4" t="n">
        <v>0</v>
      </c>
      <c r="J6" s="4" t="n">
        <v>0</v>
      </c>
      <c r="K6" s="11" t="n">
        <v>6</v>
      </c>
    </row>
    <row r="7">
      <c r="A7" s="5" t="inlineStr">
        <is>
          <t>INF · Infraestructura tecnológica</t>
        </is>
      </c>
      <c r="B7" s="4" t="n">
        <v>0</v>
      </c>
      <c r="C7" s="4" t="n">
        <v>0</v>
      </c>
      <c r="D7" s="8" t="inlineStr">
        <is>
          <t>—</t>
        </is>
      </c>
      <c r="E7" s="9" t="n">
        <v>1</v>
      </c>
      <c r="F7" s="9" t="n">
        <v>1</v>
      </c>
      <c r="G7" s="9" t="n">
        <v>3</v>
      </c>
      <c r="H7" s="4" t="n">
        <v>0</v>
      </c>
      <c r="I7" s="9" t="n">
        <v>1</v>
      </c>
      <c r="J7" s="4" t="n">
        <v>0</v>
      </c>
      <c r="K7" s="11" t="n">
        <v>6</v>
      </c>
    </row>
    <row r="8">
      <c r="A8" s="5" t="inlineStr">
        <is>
          <t>COM · Competencias docentes</t>
        </is>
      </c>
      <c r="B8" s="4" t="n">
        <v>0</v>
      </c>
      <c r="C8" s="4" t="n">
        <v>0</v>
      </c>
      <c r="D8" s="4" t="n">
        <v>0</v>
      </c>
      <c r="E8" s="8" t="inlineStr">
        <is>
          <t>—</t>
        </is>
      </c>
      <c r="F8" s="9" t="n">
        <v>2</v>
      </c>
      <c r="G8" s="9" t="n">
        <v>3</v>
      </c>
      <c r="H8" s="10" t="n">
        <v>-2</v>
      </c>
      <c r="I8" s="4" t="n">
        <v>0</v>
      </c>
      <c r="J8" s="4" t="n">
        <v>0</v>
      </c>
      <c r="K8" s="11" t="n">
        <v>7</v>
      </c>
    </row>
    <row r="9">
      <c r="A9" s="5" t="inlineStr">
        <is>
          <t>CUL · Cultura de innovación</t>
        </is>
      </c>
      <c r="B9" s="4" t="n">
        <v>0</v>
      </c>
      <c r="C9" s="4" t="n">
        <v>0</v>
      </c>
      <c r="D9" s="4" t="n">
        <v>0</v>
      </c>
      <c r="E9" s="9" t="n">
        <v>2</v>
      </c>
      <c r="F9" s="8" t="inlineStr">
        <is>
          <t>—</t>
        </is>
      </c>
      <c r="G9" s="9" t="n">
        <v>1</v>
      </c>
      <c r="H9" s="10" t="n">
        <v>-3</v>
      </c>
      <c r="I9" s="4" t="n">
        <v>0</v>
      </c>
      <c r="J9" s="4" t="n">
        <v>0</v>
      </c>
      <c r="K9" s="11" t="n">
        <v>6</v>
      </c>
    </row>
    <row r="10">
      <c r="A10" s="5" t="inlineStr">
        <is>
          <t>EXP · Experiencia estudiantil</t>
        </is>
      </c>
      <c r="B10" s="9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8" t="inlineStr">
        <is>
          <t>—</t>
        </is>
      </c>
      <c r="H10" s="4" t="n">
        <v>0</v>
      </c>
      <c r="I10" s="9" t="n">
        <v>3</v>
      </c>
      <c r="J10" s="4" t="n">
        <v>0</v>
      </c>
      <c r="K10" s="11" t="n">
        <v>4</v>
      </c>
    </row>
    <row r="11">
      <c r="A11" s="5" t="inlineStr">
        <is>
          <t>RES · Resistencia al cambio</t>
        </is>
      </c>
      <c r="B11" s="4" t="n">
        <v>0</v>
      </c>
      <c r="C11" s="4" t="n">
        <v>0</v>
      </c>
      <c r="D11" s="10" t="n">
        <v>-1</v>
      </c>
      <c r="E11" s="10" t="n">
        <v>-2</v>
      </c>
      <c r="F11" s="10" t="n">
        <v>-2</v>
      </c>
      <c r="G11" s="4" t="n">
        <v>0</v>
      </c>
      <c r="H11" s="8" t="inlineStr">
        <is>
          <t>—</t>
        </is>
      </c>
      <c r="I11" s="4" t="n">
        <v>0</v>
      </c>
      <c r="J11" s="4" t="n">
        <v>0</v>
      </c>
      <c r="K11" s="11" t="n">
        <v>5</v>
      </c>
    </row>
    <row r="12">
      <c r="A12" s="5" t="inlineStr">
        <is>
          <t>RET · Retención estudiantil</t>
        </is>
      </c>
      <c r="B12" s="9" t="n">
        <v>1</v>
      </c>
      <c r="C12" s="9" t="n">
        <v>2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8" t="inlineStr">
        <is>
          <t>—</t>
        </is>
      </c>
      <c r="J12" s="4" t="n">
        <v>0</v>
      </c>
      <c r="K12" s="11" t="n">
        <v>3</v>
      </c>
    </row>
    <row r="13">
      <c r="A13" s="5" t="inlineStr">
        <is>
          <t>NOR · Normativa y acreditación</t>
        </is>
      </c>
      <c r="B13" s="9" t="n">
        <v>1</v>
      </c>
      <c r="C13" s="9" t="n">
        <v>1</v>
      </c>
      <c r="D13" s="4" t="n">
        <v>0</v>
      </c>
      <c r="E13" s="4" t="n">
        <v>0</v>
      </c>
      <c r="F13" s="9" t="n">
        <v>1</v>
      </c>
      <c r="G13" s="4" t="n">
        <v>0</v>
      </c>
      <c r="H13" s="4" t="n">
        <v>0</v>
      </c>
      <c r="I13" s="4" t="n">
        <v>0</v>
      </c>
      <c r="J13" s="8" t="inlineStr">
        <is>
          <t>—</t>
        </is>
      </c>
      <c r="K13" s="11" t="n">
        <v>3</v>
      </c>
    </row>
    <row r="14">
      <c r="A14" s="12" t="inlineStr">
        <is>
          <t>Σ Dependencia</t>
        </is>
      </c>
      <c r="B14" s="11" t="n">
        <v>3</v>
      </c>
      <c r="C14" s="11" t="n">
        <v>6</v>
      </c>
      <c r="D14" s="11" t="n">
        <v>4</v>
      </c>
      <c r="E14" s="11" t="n">
        <v>9</v>
      </c>
      <c r="F14" s="11" t="n">
        <v>9</v>
      </c>
      <c r="G14" s="11" t="n">
        <v>8</v>
      </c>
      <c r="H14" s="11" t="n">
        <v>7</v>
      </c>
      <c r="I14" s="11" t="n">
        <v>4</v>
      </c>
      <c r="J14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9" customWidth="1" min="4" max="4"/>
    <col width="129" customWidth="1" min="5" max="5"/>
    <col width="119" customWidth="1" min="6" max="6"/>
    <col width="74" customWidth="1" min="7" max="7"/>
  </cols>
  <sheetData>
    <row r="1">
      <c r="A1" s="1" t="inlineStr">
        <is>
          <t>BASE ORIGINAL · JUSTIFICACIÓN CONCEPTUAL Y EVIDENCIA PRÁCTICA</t>
        </is>
      </c>
    </row>
    <row r="2">
      <c r="A2" s="2" t="inlineStr">
        <is>
          <t>Sustento de cada relación causal: mecanismo teórico, evidencia observable e indicador cuantitativo</t>
        </is>
      </c>
    </row>
    <row r="3"/>
    <row r="4">
      <c r="A4" s="3" t="inlineStr">
        <is>
          <t>Origen</t>
        </is>
      </c>
      <c r="B4" s="3" t="inlineStr">
        <is>
          <t>Destino</t>
        </is>
      </c>
      <c r="C4" s="3" t="inlineStr">
        <is>
          <t>Impacto (A)</t>
        </is>
      </c>
      <c r="D4" s="3" t="inlineStr">
        <is>
          <t>Retardo T (años)</t>
        </is>
      </c>
      <c r="E4" s="3" t="inlineStr">
        <is>
          <t>Mecanismo Causal Conceptual</t>
        </is>
      </c>
      <c r="F4" s="3" t="inlineStr">
        <is>
          <t>Evidencia Práctica Observable</t>
        </is>
      </c>
      <c r="G4" s="3" t="inlineStr">
        <is>
          <t>Indicador Sugerido</t>
        </is>
      </c>
    </row>
    <row r="5">
      <c r="A5" s="4" t="inlineStr">
        <is>
          <t>LID</t>
        </is>
      </c>
      <c r="B5" s="4" t="inlineStr">
        <is>
          <t>INV</t>
        </is>
      </c>
      <c r="C5" s="9" t="n">
        <v>3</v>
      </c>
      <c r="D5" s="13" t="n">
        <v>1</v>
      </c>
      <c r="E5" s="6" t="inlineStr">
        <is>
          <t>Teoría de agencia / poder de asignación: quien decide prioridades controla el flujo de recursos. Relación directa e inmediata.</t>
        </is>
      </c>
      <c r="F5" s="6" t="inlineStr">
        <is>
          <t>Los proyectos con patrocinio directivo explícito se financian primero; los demás quedan en lista de espera.</t>
        </is>
      </c>
      <c r="G5" s="6" t="inlineStr">
        <is>
          <t>% del presupuesto de TI aprobado a proyectos con patrocinador directivo</t>
        </is>
      </c>
    </row>
    <row r="6">
      <c r="A6" s="4" t="inlineStr">
        <is>
          <t>LID</t>
        </is>
      </c>
      <c r="B6" s="4" t="inlineStr">
        <is>
          <t>CUL</t>
        </is>
      </c>
      <c r="C6" s="9" t="n">
        <v>3</v>
      </c>
      <c r="D6" s="13" t="n">
        <v>2</v>
      </c>
      <c r="E6" s="6" t="inlineStr">
        <is>
          <t>Los líderes modelan valores: la cultura es en gran parte el comportamiento que la dirección premia o tolera (Schein).</t>
        </is>
      </c>
      <c r="F6" s="6" t="inlineStr">
        <is>
          <t>Instituciones donde la dirección participa en pilotos muestran mayor iniciativa docente espontánea.</t>
        </is>
      </c>
      <c r="G6" s="6" t="inlineStr">
        <is>
          <t>N.º de iniciativas docentes nuevas por semestre</t>
        </is>
      </c>
    </row>
    <row r="7">
      <c r="A7" s="4" t="inlineStr">
        <is>
          <t>LID</t>
        </is>
      </c>
      <c r="B7" s="4" t="inlineStr">
        <is>
          <t>RES</t>
        </is>
      </c>
      <c r="C7" s="10" t="n">
        <v>-2</v>
      </c>
      <c r="D7" s="13" t="n">
        <v>1.5</v>
      </c>
      <c r="E7" s="6" t="inlineStr">
        <is>
          <t>Gestión del cambio (Kotter): una visión clara y urgencia comunicada reduce la resistencia, pero no la elimina.</t>
        </is>
      </c>
      <c r="F7" s="6" t="inlineStr">
        <is>
          <t>Cuando el rector explica el propósito en claustros docentes, bajan las objeciones formales.</t>
        </is>
      </c>
      <c r="G7" s="6" t="inlineStr">
        <is>
          <t>Encuesta de aceptación del cambio (escala 1-5)</t>
        </is>
      </c>
    </row>
    <row r="8">
      <c r="A8" s="4" t="inlineStr">
        <is>
          <t>LID</t>
        </is>
      </c>
      <c r="B8" s="4" t="inlineStr">
        <is>
          <t>COM</t>
        </is>
      </c>
      <c r="C8" s="9" t="n">
        <v>2</v>
      </c>
      <c r="D8" s="13" t="n">
        <v>2</v>
      </c>
      <c r="E8" s="6" t="inlineStr">
        <is>
          <t>La dirección prioriza tiempo y programas de formación; el efecto depende del presupuesto y la cultura.</t>
        </is>
      </c>
      <c r="F8" s="6" t="inlineStr">
        <is>
          <t>Se asignan horas de descarga para capacitación solo si la dirección lo define en el plan anual.</t>
        </is>
      </c>
      <c r="G8" s="6" t="inlineStr">
        <is>
          <t>Horas de formación docente por año</t>
        </is>
      </c>
    </row>
    <row r="9">
      <c r="A9" s="4" t="inlineStr">
        <is>
          <t>INV</t>
        </is>
      </c>
      <c r="B9" s="4" t="inlineStr">
        <is>
          <t>INF</t>
        </is>
      </c>
      <c r="C9" s="9" t="n">
        <v>3</v>
      </c>
      <c r="D9" s="13" t="n">
        <v>1</v>
      </c>
      <c r="E9" s="6" t="inlineStr">
        <is>
          <t>Función de producción: la infraestructura es capital que solo se crea o mantiene con inversión directa.</t>
        </is>
      </c>
      <c r="F9" s="6" t="inlineStr">
        <is>
          <t>Sin partida de renovación, la conectividad y equipos envejecen; con ella, el tiempo de caída de servicios disminuye.</t>
        </is>
      </c>
      <c r="G9" s="6" t="inlineStr">
        <is>
          <t>Disponibilidad de plataforma (%) vs. inversión anual</t>
        </is>
      </c>
    </row>
    <row r="10">
      <c r="A10" s="4" t="inlineStr">
        <is>
          <t>INV</t>
        </is>
      </c>
      <c r="B10" s="4" t="inlineStr">
        <is>
          <t>COM</t>
        </is>
      </c>
      <c r="C10" s="9" t="n">
        <v>2</v>
      </c>
      <c r="D10" s="13" t="n">
        <v>2</v>
      </c>
      <c r="E10" s="6" t="inlineStr">
        <is>
          <t>Capital humano: la inversión financia cursos, licencias y asesoría pedagógica.</t>
        </is>
      </c>
      <c r="F10" s="6" t="inlineStr">
        <is>
          <t>Presupuestos de formación mayores se asocian a más docentes certificados con retorno rezagado.</t>
        </is>
      </c>
      <c r="G10" s="6" t="inlineStr">
        <is>
          <t>% de docentes certificados en competencias digitales</t>
        </is>
      </c>
    </row>
    <row r="11">
      <c r="A11" s="4" t="inlineStr">
        <is>
          <t>INV</t>
        </is>
      </c>
      <c r="B11" s="4" t="inlineStr">
        <is>
          <t>EXP</t>
        </is>
      </c>
      <c r="C11" s="9" t="n">
        <v>1</v>
      </c>
      <c r="D11" s="13" t="n">
        <v>1.5</v>
      </c>
      <c r="E11" s="6" t="inlineStr">
        <is>
          <t>Efecto indirecto: el dinero mejora la experiencia solo mediante infraestructura y docentes.</t>
        </is>
      </c>
      <c r="F11" s="6" t="inlineStr">
        <is>
          <t>Mejoras de servicios menores (wifi en zonas comunes, biblioteca digital) tienen impacto visible pero acotado.</t>
        </is>
      </c>
      <c r="G11" s="6" t="inlineStr">
        <is>
          <t>Satisfacción con servicios tecnológicos (encuesta)</t>
        </is>
      </c>
    </row>
    <row r="12">
      <c r="A12" s="4" t="inlineStr">
        <is>
          <t>INF</t>
        </is>
      </c>
      <c r="B12" s="4" t="inlineStr">
        <is>
          <t>EXP</t>
        </is>
      </c>
      <c r="C12" s="9" t="n">
        <v>3</v>
      </c>
      <c r="D12" s="13" t="n">
        <v>0.5</v>
      </c>
      <c r="E12" s="6" t="inlineStr">
        <is>
          <t>Calidad de servicio: disponibilidad y usabilidad de plataformas condiciona directamente el acceso al aprendizaje.</t>
        </is>
      </c>
      <c r="F12" s="6" t="inlineStr">
        <is>
          <t>Caídas del aula virtual en exámenes generan reclamos inmediatos y caída en la satisfacción.</t>
        </is>
      </c>
      <c r="G12" s="6" t="inlineStr">
        <is>
          <t>Incidentes de plataforma y NPS estudiantil</t>
        </is>
      </c>
    </row>
    <row r="13">
      <c r="A13" s="4" t="inlineStr">
        <is>
          <t>INF</t>
        </is>
      </c>
      <c r="B13" s="4" t="inlineStr">
        <is>
          <t>COM</t>
        </is>
      </c>
      <c r="C13" s="9" t="n">
        <v>1</v>
      </c>
      <c r="D13" s="13" t="n">
        <v>1.5</v>
      </c>
      <c r="E13" s="6" t="inlineStr">
        <is>
          <t>Facilita la práctica: sin herramientas no se desarrollan competencias, aunque por sí solas no las generan.</t>
        </is>
      </c>
      <c r="F13" s="6" t="inlineStr">
        <is>
          <t>Docentes con buen equipamiento usan más recursos digitales; el salto de calidad depende de la formación.</t>
        </is>
      </c>
      <c r="G13" s="6" t="inlineStr">
        <is>
          <t>Uso semanal de la plataforma por docente</t>
        </is>
      </c>
    </row>
    <row r="14">
      <c r="A14" s="4" t="inlineStr">
        <is>
          <t>INF</t>
        </is>
      </c>
      <c r="B14" s="4" t="inlineStr">
        <is>
          <t>RET</t>
        </is>
      </c>
      <c r="C14" s="9" t="n">
        <v>1</v>
      </c>
      <c r="D14" s="13" t="n">
        <v>2</v>
      </c>
      <c r="E14" s="6" t="inlineStr">
        <is>
          <t>Efecto indirecto: la infraestructura evita deserción por barreras de acceso técnico, en especial virtual.</t>
        </is>
      </c>
      <c r="F14" s="6" t="inlineStr">
        <is>
          <t>Estudiantes sin conectividad o plataforma estable abandonan con más frecuencia en modalidades híbridas.</t>
        </is>
      </c>
      <c r="G14" s="6" t="inlineStr">
        <is>
          <t>Deserción en programas virtuales vs. presenciales</t>
        </is>
      </c>
    </row>
    <row r="15">
      <c r="A15" s="4" t="inlineStr">
        <is>
          <t>INF</t>
        </is>
      </c>
      <c r="B15" s="4" t="inlineStr">
        <is>
          <t>CUL</t>
        </is>
      </c>
      <c r="C15" s="9" t="n">
        <v>1</v>
      </c>
      <c r="D15" s="13" t="n">
        <v>2.5</v>
      </c>
      <c r="E15" s="6" t="inlineStr">
        <is>
          <t>Las herramientas habilitan prácticas colaborativas, pero la cultura depende de las dinámicas colectivas.</t>
        </is>
      </c>
      <c r="F15" s="6" t="inlineStr">
        <is>
          <t>Espacios y plataformas de co-creación aumentan la colaboración si existen incentivos institucionales.</t>
        </is>
      </c>
      <c r="G15" s="6" t="inlineStr">
        <is>
          <t>N.º de proyectos interdisciplinarios activos</t>
        </is>
      </c>
    </row>
    <row r="16">
      <c r="A16" s="4" t="inlineStr">
        <is>
          <t>COM</t>
        </is>
      </c>
      <c r="B16" s="4" t="inlineStr">
        <is>
          <t>EXP</t>
        </is>
      </c>
      <c r="C16" s="9" t="n">
        <v>3</v>
      </c>
      <c r="D16" s="13" t="n">
        <v>1</v>
      </c>
      <c r="E16" s="6" t="inlineStr">
        <is>
          <t>El docente es el principal mediador de la experiencia de aprendizaje (efecto directo, fuerte y poco sustituible).</t>
        </is>
      </c>
      <c r="F16" s="6" t="inlineStr">
        <is>
          <t>Cursos con docentes formados en diseño instruccional y pedagogía activa obtienen mejores evaluaciones estudiantiles.</t>
        </is>
      </c>
      <c r="G16" s="6" t="inlineStr">
        <is>
          <t>Evaluación docente por parte de los estudiantes</t>
        </is>
      </c>
    </row>
    <row r="17">
      <c r="A17" s="4" t="inlineStr">
        <is>
          <t>COM</t>
        </is>
      </c>
      <c r="B17" s="4" t="inlineStr">
        <is>
          <t>CUL</t>
        </is>
      </c>
      <c r="C17" s="9" t="n">
        <v>2</v>
      </c>
      <c r="D17" s="13" t="n">
        <v>2</v>
      </c>
      <c r="E17" s="6" t="inlineStr">
        <is>
          <t>Docentes competentes y seguros comparten prácticas y se convierten en referentes que difunden la innovación.</t>
        </is>
      </c>
      <c r="F17" s="6" t="inlineStr">
        <is>
          <t>Comunidades de práctica espontáneas surgen donde existen docentes líderes con dominio técnico pedagógico.</t>
        </is>
      </c>
      <c r="G17" s="6" t="inlineStr">
        <is>
          <t>Participación docente en comunidades de práctica</t>
        </is>
      </c>
    </row>
    <row r="18">
      <c r="A18" s="4" t="inlineStr">
        <is>
          <t>COM</t>
        </is>
      </c>
      <c r="B18" s="4" t="inlineStr">
        <is>
          <t>RES</t>
        </is>
      </c>
      <c r="C18" s="10" t="n">
        <v>-2</v>
      </c>
      <c r="D18" s="13" t="n">
        <v>1.5</v>
      </c>
      <c r="E18" s="6" t="inlineStr">
        <is>
          <t>La resistencia nace en parte de la inseguridad; mayor dominio reduce el temor a nuevas herramientas (autoeficacia, Bandura).</t>
        </is>
      </c>
      <c r="F18" s="6" t="inlineStr">
        <is>
          <t>Tras talleres prácticos de acompañamiento, disminuye el rechazo declarado a emplear nuevas plataformas.</t>
        </is>
      </c>
      <c r="G18" s="6" t="inlineStr">
        <is>
          <t>Reportes de rechazo / solicitudes de excepción tecnológica</t>
        </is>
      </c>
    </row>
    <row r="19">
      <c r="A19" s="4" t="inlineStr">
        <is>
          <t>CUL</t>
        </is>
      </c>
      <c r="B19" s="4" t="inlineStr">
        <is>
          <t>COM</t>
        </is>
      </c>
      <c r="C19" s="9" t="n">
        <v>2</v>
      </c>
      <c r="D19" s="13" t="n">
        <v>2</v>
      </c>
      <c r="E19" s="6" t="inlineStr">
        <is>
          <t>Una cultura de aprendizaje impulsa la autoformación y el intercambio entre pares de forma voluntaria.</t>
        </is>
      </c>
      <c r="F19" s="6" t="inlineStr">
        <is>
          <t>En unidades académicas con clima colaborativo, los docentes asisten a formación sin obligatoriedad.</t>
        </is>
      </c>
      <c r="G19" s="6" t="inlineStr">
        <is>
          <t>Cursos tomados voluntariamente por el claustro</t>
        </is>
      </c>
    </row>
    <row r="20">
      <c r="A20" s="4" t="inlineStr">
        <is>
          <t>CUL</t>
        </is>
      </c>
      <c r="B20" s="4" t="inlineStr">
        <is>
          <t>RES</t>
        </is>
      </c>
      <c r="C20" s="10" t="n">
        <v>-3</v>
      </c>
      <c r="D20" s="13" t="n">
        <v>2</v>
      </c>
      <c r="E20" s="6" t="inlineStr">
        <is>
          <t>La resistencia es un fenómeno cultural; una cultura que valora experimentar la neutraliza de forma profunda.</t>
        </is>
      </c>
      <c r="F20" s="6" t="inlineStr">
        <is>
          <t>Equipos con tradición de proyectos piloto adoptan cambios tecnológicos con menor fricción y dilación.</t>
        </is>
      </c>
      <c r="G20" s="6" t="inlineStr">
        <is>
          <t>Tiempo promedio de adopción de nuevas herramientas</t>
        </is>
      </c>
    </row>
    <row r="21">
      <c r="A21" s="4" t="inlineStr">
        <is>
          <t>CUL</t>
        </is>
      </c>
      <c r="B21" s="4" t="inlineStr">
        <is>
          <t>EXP</t>
        </is>
      </c>
      <c r="C21" s="9" t="n">
        <v>1</v>
      </c>
      <c r="D21" s="13" t="n">
        <v>1.5</v>
      </c>
      <c r="E21" s="6" t="inlineStr">
        <is>
          <t>La cultura enriquece la experiencia indirectamente mediante metodologías docentes innovadoras.</t>
        </is>
      </c>
      <c r="F21" s="6" t="inlineStr">
        <is>
          <t>Innovaciones locales en el aula aparecen en diversas asignaturas enriqueciendo el aprendizaje.</t>
        </is>
      </c>
      <c r="G21" s="6" t="inlineStr">
        <is>
          <t>Cursos con innovación curricular documentada</t>
        </is>
      </c>
    </row>
    <row r="22">
      <c r="A22" s="4" t="inlineStr">
        <is>
          <t>EXP</t>
        </is>
      </c>
      <c r="B22" s="4" t="inlineStr">
        <is>
          <t>RET</t>
        </is>
      </c>
      <c r="C22" s="9" t="n">
        <v>3</v>
      </c>
      <c r="D22" s="13" t="n">
        <v>1</v>
      </c>
      <c r="E22" s="6" t="inlineStr">
        <is>
          <t>Teoría de integración de Tinto: la satisfacción y el compromiso académico son el predictor directo de permanencia.</t>
        </is>
      </c>
      <c r="F22" s="6" t="inlineStr">
        <is>
          <t>Los programas académicos con mayor satisfacción estudiantil presentan menor abandono semestral.</t>
        </is>
      </c>
      <c r="G22" s="6" t="inlineStr">
        <is>
          <t>Tasa de retención semestral vs. satisfacción estudiantil</t>
        </is>
      </c>
    </row>
    <row r="23">
      <c r="A23" s="4" t="inlineStr">
        <is>
          <t>EXP</t>
        </is>
      </c>
      <c r="B23" s="4" t="inlineStr">
        <is>
          <t>LID</t>
        </is>
      </c>
      <c r="C23" s="9" t="n">
        <v>1</v>
      </c>
      <c r="D23" s="13" t="n">
        <v>3</v>
      </c>
      <c r="E23" s="6" t="inlineStr">
        <is>
          <t>Retroalimentación: la satisfacción estudiantil refuerza o desgasta la legitimidad y respaldo del liderazgo rectoral.</t>
        </is>
      </c>
      <c r="F23" s="6" t="inlineStr">
        <is>
          <t>Resultados positivos en encuestas institucionales son empleados para ratificar la gestión rectoral.</t>
        </is>
      </c>
      <c r="G23" s="6" t="inlineStr">
        <is>
          <t>Menciones de resultados estudiantiles en informes de gestión</t>
        </is>
      </c>
    </row>
    <row r="24">
      <c r="A24" s="4" t="inlineStr">
        <is>
          <t>RET</t>
        </is>
      </c>
      <c r="B24" s="4" t="inlineStr">
        <is>
          <t>INV</t>
        </is>
      </c>
      <c r="C24" s="9" t="n">
        <v>2</v>
      </c>
      <c r="D24" s="13" t="n">
        <v>1.5</v>
      </c>
      <c r="E24" s="6" t="inlineStr">
        <is>
          <t>Modelo de ingresos por matrícula: una menor deserción libera flujo de caja recurrente para reinversión institucional.</t>
        </is>
      </c>
      <c r="F24" s="6" t="inlineStr">
        <is>
          <t>Ciclos con menor deserción aumentan la recaudación disponible para presupuesto operativo del siguiente año.</t>
        </is>
      </c>
      <c r="G24" s="6" t="inlineStr">
        <is>
          <t>Ingresos netos por matrícula asignados a reinversión</t>
        </is>
      </c>
    </row>
    <row r="25">
      <c r="A25" s="4" t="inlineStr">
        <is>
          <t>RET</t>
        </is>
      </c>
      <c r="B25" s="4" t="inlineStr">
        <is>
          <t>LID</t>
        </is>
      </c>
      <c r="C25" s="9" t="n">
        <v>1</v>
      </c>
      <c r="D25" s="13" t="n">
        <v>2</v>
      </c>
      <c r="E25" s="6" t="inlineStr">
        <is>
          <t>La retención es un indicador de impacto que condiciona el respaldo del consejo directivo a la rectoría.</t>
        </is>
      </c>
      <c r="F25" s="6" t="inlineStr">
        <is>
          <t>Caídas severas en retención motivan revisiones prioritarias del consejo hacia el plan directivo.</t>
        </is>
      </c>
      <c r="G25" s="6" t="inlineStr">
        <is>
          <t>Acuerdos del consejo directivo vinculados a retención</t>
        </is>
      </c>
    </row>
    <row r="26">
      <c r="A26" s="4" t="inlineStr">
        <is>
          <t>RES</t>
        </is>
      </c>
      <c r="B26" s="4" t="inlineStr">
        <is>
          <t>COM</t>
        </is>
      </c>
      <c r="C26" s="10" t="n">
        <v>-2</v>
      </c>
      <c r="D26" s="13" t="n">
        <v>1</v>
      </c>
      <c r="E26" s="6" t="inlineStr">
        <is>
          <t>La resistencia activa o pasiva bloquea la participación en capacitación y retrasa la adopción de competencias.</t>
        </is>
      </c>
      <c r="F26" s="6" t="inlineStr">
        <is>
          <t>Docentes en resistencia formal no asisten a programas de formación aun cuando se ofrecen con descarga horaria.</t>
        </is>
      </c>
      <c r="G26" s="6" t="inlineStr">
        <is>
          <t>Tasa de inasistencia o deserción en capacitaciones</t>
        </is>
      </c>
    </row>
    <row r="27">
      <c r="A27" s="4" t="inlineStr">
        <is>
          <t>RES</t>
        </is>
      </c>
      <c r="B27" s="4" t="inlineStr">
        <is>
          <t>CUL</t>
        </is>
      </c>
      <c r="C27" s="10" t="n">
        <v>-2</v>
      </c>
      <c r="D27" s="13" t="n">
        <v>1.5</v>
      </c>
      <c r="E27" s="6" t="inlineStr">
        <is>
          <t>Los opositores activos desalientan a sus pares y erosionan el clima de confianza para experimentar (contagio social).</t>
        </is>
      </c>
      <c r="F27" s="6" t="inlineStr">
        <is>
          <t>Comentarios escépticos y cuestionamientos recurrentes en claustros frenan la expansión de pilotos.</t>
        </is>
      </c>
      <c r="G27" s="6" t="inlineStr">
        <is>
          <t>Proyectos piloto suspendidos por oposición interna</t>
        </is>
      </c>
    </row>
    <row r="28">
      <c r="A28" s="4" t="inlineStr">
        <is>
          <t>RES</t>
        </is>
      </c>
      <c r="B28" s="4" t="inlineStr">
        <is>
          <t>INF</t>
        </is>
      </c>
      <c r="C28" s="10" t="n">
        <v>-1</v>
      </c>
      <c r="D28" s="13" t="n">
        <v>1</v>
      </c>
      <c r="E28" s="6" t="inlineStr">
        <is>
          <t>Retrasa la adopción de herramientas tecnológicas adquiridas (subutilización de licencias e infraestructura).</t>
        </is>
      </c>
      <c r="F28" s="6" t="inlineStr">
        <is>
          <t>Sistemas o plataformas contratadas exhiben baja tasa de activación o rechazo al uso regular.</t>
        </is>
      </c>
      <c r="G28" s="6" t="inlineStr">
        <is>
          <t>Tasa de subutilización de licencias de plataforma</t>
        </is>
      </c>
    </row>
    <row r="29">
      <c r="A29" s="4" t="inlineStr">
        <is>
          <t>NOR</t>
        </is>
      </c>
      <c r="B29" s="4" t="inlineStr">
        <is>
          <t>LID</t>
        </is>
      </c>
      <c r="C29" s="9" t="n">
        <v>1</v>
      </c>
      <c r="D29" s="13" t="n">
        <v>3</v>
      </c>
      <c r="E29" s="6" t="inlineStr">
        <is>
          <t>Isomorfismo coercitivo institucional: las normativas y requerimientos del ministerio orientan la agenda directiva.</t>
        </is>
      </c>
      <c r="F29" s="6" t="inlineStr">
        <is>
          <t>Tras procesos de acreditación se incorporan metas de transformación digital en el plan rectoral.</t>
        </is>
      </c>
      <c r="G29" s="6" t="inlineStr">
        <is>
          <t>Objetivos del plan rectoral derivados de acreditación</t>
        </is>
      </c>
    </row>
    <row r="30">
      <c r="A30" s="4" t="inlineStr">
        <is>
          <t>NOR</t>
        </is>
      </c>
      <c r="B30" s="4" t="inlineStr">
        <is>
          <t>INV</t>
        </is>
      </c>
      <c r="C30" s="9" t="n">
        <v>1</v>
      </c>
      <c r="D30" s="13" t="n">
        <v>2</v>
      </c>
      <c r="E30" s="6" t="inlineStr">
        <is>
          <t>Exigencias externas de acreditación justifican rubros presupuestarios específicos de cumplimiento.</t>
        </is>
      </c>
      <c r="F30" s="6" t="inlineStr">
        <is>
          <t>Se abren partidas prioritarias para subsanar observaciones de pares evaluadores.</t>
        </is>
      </c>
      <c r="G30" s="6" t="inlineStr">
        <is>
          <t>Partidas presupuestarias asignadas a cumplimiento normativo</t>
        </is>
      </c>
    </row>
    <row r="31">
      <c r="A31" s="4" t="inlineStr">
        <is>
          <t>NOR</t>
        </is>
      </c>
      <c r="B31" s="4" t="inlineStr">
        <is>
          <t>CUL</t>
        </is>
      </c>
      <c r="C31" s="9" t="n">
        <v>1</v>
      </c>
      <c r="D31" s="13" t="n">
        <v>3</v>
      </c>
      <c r="E31" s="6" t="inlineStr">
        <is>
          <t>Los estándares normativos de calidad promueven prácticas regulares que con el tiempo se asimilan en la cultura.</t>
        </is>
      </c>
      <c r="F31" s="6" t="inlineStr">
        <is>
          <t>Rutinas de autoevaluación continua se mantienen vivas aun fuera de ventanas de auditoría.</t>
        </is>
      </c>
      <c r="G31" s="6" t="inlineStr">
        <is>
          <t>Unidades con ciclos de autoevaluación activos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A (INTENSIDAD Y POLARIDAD)</t>
        </is>
      </c>
    </row>
    <row r="2">
      <c r="A2" s="2" t="inlineStr">
        <is>
          <t>Impactos causales con polaridad fijada en escala [-3, 3]. Diagonal principal nula.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15" t="inlineStr">
        <is>
          <t>—</t>
        </is>
      </c>
      <c r="C5" s="16" t="n">
        <v>3</v>
      </c>
      <c r="D5" s="17" t="n">
        <v>0</v>
      </c>
      <c r="E5" s="16" t="n">
        <v>2</v>
      </c>
      <c r="F5" s="16" t="n">
        <v>3</v>
      </c>
      <c r="G5" s="17" t="n">
        <v>0</v>
      </c>
      <c r="H5" s="18" t="n">
        <v>-2</v>
      </c>
      <c r="I5" s="17" t="n">
        <v>0</v>
      </c>
      <c r="J5" s="17" t="n">
        <v>0</v>
      </c>
    </row>
    <row r="6">
      <c r="A6" s="5" t="inlineStr">
        <is>
          <t>INV · Inversión y presupuesto</t>
        </is>
      </c>
      <c r="B6" s="17" t="n">
        <v>0</v>
      </c>
      <c r="C6" s="15" t="inlineStr">
        <is>
          <t>—</t>
        </is>
      </c>
      <c r="D6" s="16" t="n">
        <v>3</v>
      </c>
      <c r="E6" s="16" t="n">
        <v>2</v>
      </c>
      <c r="F6" s="17" t="n">
        <v>0</v>
      </c>
      <c r="G6" s="16" t="n">
        <v>1</v>
      </c>
      <c r="H6" s="17" t="n">
        <v>0</v>
      </c>
      <c r="I6" s="17" t="n">
        <v>0</v>
      </c>
      <c r="J6" s="17" t="n">
        <v>0</v>
      </c>
    </row>
    <row r="7">
      <c r="A7" s="5" t="inlineStr">
        <is>
          <t>INF · Infraestructura tecnológica</t>
        </is>
      </c>
      <c r="B7" s="17" t="n">
        <v>0</v>
      </c>
      <c r="C7" s="17" t="n">
        <v>0</v>
      </c>
      <c r="D7" s="15" t="inlineStr">
        <is>
          <t>—</t>
        </is>
      </c>
      <c r="E7" s="16" t="n">
        <v>1</v>
      </c>
      <c r="F7" s="16" t="n">
        <v>1</v>
      </c>
      <c r="G7" s="16" t="n">
        <v>3</v>
      </c>
      <c r="H7" s="17" t="n">
        <v>0</v>
      </c>
      <c r="I7" s="16" t="n">
        <v>1</v>
      </c>
      <c r="J7" s="17" t="n">
        <v>0</v>
      </c>
    </row>
    <row r="8">
      <c r="A8" s="5" t="inlineStr">
        <is>
          <t>COM · Competencias docentes</t>
        </is>
      </c>
      <c r="B8" s="17" t="n">
        <v>0</v>
      </c>
      <c r="C8" s="17" t="n">
        <v>0</v>
      </c>
      <c r="D8" s="17" t="n">
        <v>0</v>
      </c>
      <c r="E8" s="15" t="inlineStr">
        <is>
          <t>—</t>
        </is>
      </c>
      <c r="F8" s="16" t="n">
        <v>2</v>
      </c>
      <c r="G8" s="16" t="n">
        <v>3</v>
      </c>
      <c r="H8" s="18" t="n">
        <v>-2</v>
      </c>
      <c r="I8" s="17" t="n">
        <v>0</v>
      </c>
      <c r="J8" s="17" t="n">
        <v>0</v>
      </c>
    </row>
    <row r="9">
      <c r="A9" s="5" t="inlineStr">
        <is>
          <t>CUL · Cultura de innovación</t>
        </is>
      </c>
      <c r="B9" s="17" t="n">
        <v>0</v>
      </c>
      <c r="C9" s="17" t="n">
        <v>0</v>
      </c>
      <c r="D9" s="17" t="n">
        <v>0</v>
      </c>
      <c r="E9" s="16" t="n">
        <v>2</v>
      </c>
      <c r="F9" s="15" t="inlineStr">
        <is>
          <t>—</t>
        </is>
      </c>
      <c r="G9" s="16" t="n">
        <v>1</v>
      </c>
      <c r="H9" s="18" t="n">
        <v>-3</v>
      </c>
      <c r="I9" s="17" t="n">
        <v>0</v>
      </c>
      <c r="J9" s="17" t="n">
        <v>0</v>
      </c>
    </row>
    <row r="10">
      <c r="A10" s="5" t="inlineStr">
        <is>
          <t>EXP · Experiencia estudiantil</t>
        </is>
      </c>
      <c r="B10" s="16" t="n">
        <v>1</v>
      </c>
      <c r="C10" s="17" t="n">
        <v>0</v>
      </c>
      <c r="D10" s="17" t="n">
        <v>0</v>
      </c>
      <c r="E10" s="17" t="n">
        <v>0</v>
      </c>
      <c r="F10" s="17" t="n">
        <v>0</v>
      </c>
      <c r="G10" s="15" t="inlineStr">
        <is>
          <t>—</t>
        </is>
      </c>
      <c r="H10" s="17" t="n">
        <v>0</v>
      </c>
      <c r="I10" s="16" t="n">
        <v>3</v>
      </c>
      <c r="J10" s="17" t="n">
        <v>0</v>
      </c>
    </row>
    <row r="11">
      <c r="A11" s="5" t="inlineStr">
        <is>
          <t>RES · Resistencia al cambio</t>
        </is>
      </c>
      <c r="B11" s="17" t="n">
        <v>0</v>
      </c>
      <c r="C11" s="17" t="n">
        <v>0</v>
      </c>
      <c r="D11" s="18" t="n">
        <v>-1</v>
      </c>
      <c r="E11" s="18" t="n">
        <v>-2</v>
      </c>
      <c r="F11" s="18" t="n">
        <v>-2</v>
      </c>
      <c r="G11" s="17" t="n">
        <v>0</v>
      </c>
      <c r="H11" s="15" t="inlineStr">
        <is>
          <t>—</t>
        </is>
      </c>
      <c r="I11" s="17" t="n">
        <v>0</v>
      </c>
      <c r="J11" s="17" t="n">
        <v>0</v>
      </c>
    </row>
    <row r="12">
      <c r="A12" s="5" t="inlineStr">
        <is>
          <t>RET · Retención estudiantil</t>
        </is>
      </c>
      <c r="B12" s="16" t="n">
        <v>1</v>
      </c>
      <c r="C12" s="16" t="n">
        <v>2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5" t="inlineStr">
        <is>
          <t>—</t>
        </is>
      </c>
      <c r="J12" s="17" t="n">
        <v>0</v>
      </c>
    </row>
    <row r="13">
      <c r="A13" s="5" t="inlineStr">
        <is>
          <t>NOR · Normativa y acreditación</t>
        </is>
      </c>
      <c r="B13" s="16" t="n">
        <v>1</v>
      </c>
      <c r="C13" s="16" t="n">
        <v>1</v>
      </c>
      <c r="D13" s="17" t="n">
        <v>0</v>
      </c>
      <c r="E13" s="17" t="n">
        <v>0</v>
      </c>
      <c r="F13" s="16" t="n">
        <v>1</v>
      </c>
      <c r="G13" s="17" t="n">
        <v>0</v>
      </c>
      <c r="H13" s="17" t="n">
        <v>0</v>
      </c>
      <c r="I13" s="17" t="n">
        <v>0</v>
      </c>
      <c r="J13" s="1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T (RETARDOS TEMPORALES)</t>
        </is>
      </c>
    </row>
    <row r="2">
      <c r="A2" s="2" t="inlineStr">
        <is>
          <t>Retardo estimado en años (t_ij) para la materialización del impacto causal.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19" t="inlineStr">
        <is>
          <t>—</t>
        </is>
      </c>
      <c r="C5" s="13" t="n">
        <v>1</v>
      </c>
      <c r="D5" s="13" t="n">
        <v>0</v>
      </c>
      <c r="E5" s="13" t="n">
        <v>2</v>
      </c>
      <c r="F5" s="13" t="n">
        <v>2</v>
      </c>
      <c r="G5" s="13" t="n">
        <v>0</v>
      </c>
      <c r="H5" s="13" t="n">
        <v>1.5</v>
      </c>
      <c r="I5" s="13" t="n">
        <v>0</v>
      </c>
      <c r="J5" s="13" t="n">
        <v>0</v>
      </c>
    </row>
    <row r="6">
      <c r="A6" s="5" t="inlineStr">
        <is>
          <t>INV · Inversión y presupuesto</t>
        </is>
      </c>
      <c r="B6" s="13" t="n">
        <v>0</v>
      </c>
      <c r="C6" s="19" t="inlineStr">
        <is>
          <t>—</t>
        </is>
      </c>
      <c r="D6" s="13" t="n">
        <v>1</v>
      </c>
      <c r="E6" s="13" t="n">
        <v>2</v>
      </c>
      <c r="F6" s="13" t="n">
        <v>0</v>
      </c>
      <c r="G6" s="13" t="n">
        <v>1.5</v>
      </c>
      <c r="H6" s="13" t="n">
        <v>0</v>
      </c>
      <c r="I6" s="13" t="n">
        <v>0</v>
      </c>
      <c r="J6" s="13" t="n">
        <v>0</v>
      </c>
    </row>
    <row r="7">
      <c r="A7" s="5" t="inlineStr">
        <is>
          <t>INF · Infraestructura tecnológica</t>
        </is>
      </c>
      <c r="B7" s="13" t="n">
        <v>0</v>
      </c>
      <c r="C7" s="13" t="n">
        <v>0</v>
      </c>
      <c r="D7" s="19" t="inlineStr">
        <is>
          <t>—</t>
        </is>
      </c>
      <c r="E7" s="13" t="n">
        <v>1.5</v>
      </c>
      <c r="F7" s="13" t="n">
        <v>2.5</v>
      </c>
      <c r="G7" s="13" t="n">
        <v>0.5</v>
      </c>
      <c r="H7" s="13" t="n">
        <v>0</v>
      </c>
      <c r="I7" s="13" t="n">
        <v>2</v>
      </c>
      <c r="J7" s="13" t="n">
        <v>0</v>
      </c>
    </row>
    <row r="8">
      <c r="A8" s="5" t="inlineStr">
        <is>
          <t>COM · Competencias docentes</t>
        </is>
      </c>
      <c r="B8" s="13" t="n">
        <v>0</v>
      </c>
      <c r="C8" s="13" t="n">
        <v>0</v>
      </c>
      <c r="D8" s="13" t="n">
        <v>0</v>
      </c>
      <c r="E8" s="19" t="inlineStr">
        <is>
          <t>—</t>
        </is>
      </c>
      <c r="F8" s="13" t="n">
        <v>2</v>
      </c>
      <c r="G8" s="13" t="n">
        <v>1</v>
      </c>
      <c r="H8" s="13" t="n">
        <v>1.5</v>
      </c>
      <c r="I8" s="13" t="n">
        <v>0</v>
      </c>
      <c r="J8" s="13" t="n">
        <v>0</v>
      </c>
    </row>
    <row r="9">
      <c r="A9" s="5" t="inlineStr">
        <is>
          <t>CUL · Cultura de innovación</t>
        </is>
      </c>
      <c r="B9" s="13" t="n">
        <v>0</v>
      </c>
      <c r="C9" s="13" t="n">
        <v>0</v>
      </c>
      <c r="D9" s="13" t="n">
        <v>0</v>
      </c>
      <c r="E9" s="13" t="n">
        <v>2</v>
      </c>
      <c r="F9" s="19" t="inlineStr">
        <is>
          <t>—</t>
        </is>
      </c>
      <c r="G9" s="13" t="n">
        <v>1.5</v>
      </c>
      <c r="H9" s="13" t="n">
        <v>2</v>
      </c>
      <c r="I9" s="13" t="n">
        <v>0</v>
      </c>
      <c r="J9" s="13" t="n">
        <v>0</v>
      </c>
    </row>
    <row r="10">
      <c r="A10" s="5" t="inlineStr">
        <is>
          <t>EXP · Experiencia estudiantil</t>
        </is>
      </c>
      <c r="B10" s="13" t="n">
        <v>3</v>
      </c>
      <c r="C10" s="13" t="n">
        <v>0</v>
      </c>
      <c r="D10" s="13" t="n">
        <v>0</v>
      </c>
      <c r="E10" s="13" t="n">
        <v>0</v>
      </c>
      <c r="F10" s="13" t="n">
        <v>0</v>
      </c>
      <c r="G10" s="19" t="inlineStr">
        <is>
          <t>—</t>
        </is>
      </c>
      <c r="H10" s="13" t="n">
        <v>0</v>
      </c>
      <c r="I10" s="13" t="n">
        <v>1</v>
      </c>
      <c r="J10" s="13" t="n">
        <v>0</v>
      </c>
    </row>
    <row r="11">
      <c r="A11" s="5" t="inlineStr">
        <is>
          <t>RES · Resistencia al cambio</t>
        </is>
      </c>
      <c r="B11" s="13" t="n">
        <v>0</v>
      </c>
      <c r="C11" s="13" t="n">
        <v>0</v>
      </c>
      <c r="D11" s="13" t="n">
        <v>1</v>
      </c>
      <c r="E11" s="13" t="n">
        <v>1</v>
      </c>
      <c r="F11" s="13" t="n">
        <v>1.5</v>
      </c>
      <c r="G11" s="13" t="n">
        <v>0</v>
      </c>
      <c r="H11" s="19" t="inlineStr">
        <is>
          <t>—</t>
        </is>
      </c>
      <c r="I11" s="13" t="n">
        <v>0</v>
      </c>
      <c r="J11" s="13" t="n">
        <v>0</v>
      </c>
    </row>
    <row r="12">
      <c r="A12" s="5" t="inlineStr">
        <is>
          <t>RET · Retención estudiantil</t>
        </is>
      </c>
      <c r="B12" s="13" t="n">
        <v>2</v>
      </c>
      <c r="C12" s="13" t="n">
        <v>1.5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9" t="inlineStr">
        <is>
          <t>—</t>
        </is>
      </c>
      <c r="J12" s="13" t="n">
        <v>0</v>
      </c>
    </row>
    <row r="13">
      <c r="A13" s="5" t="inlineStr">
        <is>
          <t>NOR · Normativa y acreditación</t>
        </is>
      </c>
      <c r="B13" s="13" t="n">
        <v>3</v>
      </c>
      <c r="C13" s="13" t="n">
        <v>2</v>
      </c>
      <c r="D13" s="13" t="n">
        <v>0</v>
      </c>
      <c r="E13" s="13" t="n">
        <v>0</v>
      </c>
      <c r="F13" s="13" t="n">
        <v>3</v>
      </c>
      <c r="G13" s="13" t="n">
        <v>0</v>
      </c>
      <c r="H13" s="13" t="n">
        <v>0</v>
      </c>
      <c r="I13" s="13" t="n">
        <v>0</v>
      </c>
      <c r="J13" s="1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W DESCONTADA (λ = 0.10)</t>
        </is>
      </c>
    </row>
    <row r="2">
      <c r="A2" s="2" t="inlineStr">
        <is>
          <t>Impacto efectivo descontado por fricción temporal: w_ij = a_ij · exp(-λ · t_ij).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0" t="inlineStr">
        <is>
          <t>—</t>
        </is>
      </c>
      <c r="C5" s="21" t="n">
        <v>2.714512254107879</v>
      </c>
      <c r="D5" s="22" t="n">
        <v>0</v>
      </c>
      <c r="E5" s="21" t="n">
        <v>1.637461506155964</v>
      </c>
      <c r="F5" s="21" t="n">
        <v>2.456192259233946</v>
      </c>
      <c r="G5" s="22" t="n">
        <v>0</v>
      </c>
      <c r="H5" s="23" t="n">
        <v>-1.721415952850116</v>
      </c>
      <c r="I5" s="22" t="n">
        <v>0</v>
      </c>
      <c r="J5" s="22" t="n">
        <v>0</v>
      </c>
    </row>
    <row r="6">
      <c r="A6" s="5" t="inlineStr">
        <is>
          <t>INV · Inversión y presupuesto</t>
        </is>
      </c>
      <c r="B6" s="22" t="n">
        <v>0</v>
      </c>
      <c r="C6" s="20" t="inlineStr">
        <is>
          <t>—</t>
        </is>
      </c>
      <c r="D6" s="21" t="n">
        <v>2.714512254107879</v>
      </c>
      <c r="E6" s="21" t="n">
        <v>1.637461506155964</v>
      </c>
      <c r="F6" s="22" t="n">
        <v>0</v>
      </c>
      <c r="G6" s="21" t="n">
        <v>0.8607079764250578</v>
      </c>
      <c r="H6" s="22" t="n">
        <v>0</v>
      </c>
      <c r="I6" s="22" t="n">
        <v>0</v>
      </c>
      <c r="J6" s="22" t="n">
        <v>0</v>
      </c>
    </row>
    <row r="7">
      <c r="A7" s="5" t="inlineStr">
        <is>
          <t>INF · Infraestructura tecnológica</t>
        </is>
      </c>
      <c r="B7" s="22" t="n">
        <v>0</v>
      </c>
      <c r="C7" s="22" t="n">
        <v>0</v>
      </c>
      <c r="D7" s="20" t="inlineStr">
        <is>
          <t>—</t>
        </is>
      </c>
      <c r="E7" s="21" t="n">
        <v>0.8607079764250578</v>
      </c>
      <c r="F7" s="21" t="n">
        <v>0.7788007830714049</v>
      </c>
      <c r="G7" s="21" t="n">
        <v>2.853688273502142</v>
      </c>
      <c r="H7" s="22" t="n">
        <v>0</v>
      </c>
      <c r="I7" s="21" t="n">
        <v>0.8187307530779818</v>
      </c>
      <c r="J7" s="22" t="n">
        <v>0</v>
      </c>
    </row>
    <row r="8">
      <c r="A8" s="5" t="inlineStr">
        <is>
          <t>COM · Competencias docentes</t>
        </is>
      </c>
      <c r="B8" s="22" t="n">
        <v>0</v>
      </c>
      <c r="C8" s="22" t="n">
        <v>0</v>
      </c>
      <c r="D8" s="22" t="n">
        <v>0</v>
      </c>
      <c r="E8" s="20" t="inlineStr">
        <is>
          <t>—</t>
        </is>
      </c>
      <c r="F8" s="21" t="n">
        <v>1.637461506155964</v>
      </c>
      <c r="G8" s="21" t="n">
        <v>2.714512254107879</v>
      </c>
      <c r="H8" s="23" t="n">
        <v>-1.721415952850116</v>
      </c>
      <c r="I8" s="22" t="n">
        <v>0</v>
      </c>
      <c r="J8" s="22" t="n">
        <v>0</v>
      </c>
    </row>
    <row r="9">
      <c r="A9" s="5" t="inlineStr">
        <is>
          <t>CUL · Cultura de innovación</t>
        </is>
      </c>
      <c r="B9" s="22" t="n">
        <v>0</v>
      </c>
      <c r="C9" s="22" t="n">
        <v>0</v>
      </c>
      <c r="D9" s="22" t="n">
        <v>0</v>
      </c>
      <c r="E9" s="21" t="n">
        <v>1.637461506155964</v>
      </c>
      <c r="F9" s="20" t="inlineStr">
        <is>
          <t>—</t>
        </is>
      </c>
      <c r="G9" s="21" t="n">
        <v>0.8607079764250578</v>
      </c>
      <c r="H9" s="23" t="n">
        <v>-2.456192259233946</v>
      </c>
      <c r="I9" s="22" t="n">
        <v>0</v>
      </c>
      <c r="J9" s="22" t="n">
        <v>0</v>
      </c>
    </row>
    <row r="10">
      <c r="A10" s="5" t="inlineStr">
        <is>
          <t>EXP · Experiencia estudiantil</t>
        </is>
      </c>
      <c r="B10" s="21" t="n">
        <v>0.7408182206817179</v>
      </c>
      <c r="C10" s="22" t="n">
        <v>0</v>
      </c>
      <c r="D10" s="22" t="n">
        <v>0</v>
      </c>
      <c r="E10" s="22" t="n">
        <v>0</v>
      </c>
      <c r="F10" s="22" t="n">
        <v>0</v>
      </c>
      <c r="G10" s="20" t="inlineStr">
        <is>
          <t>—</t>
        </is>
      </c>
      <c r="H10" s="22" t="n">
        <v>0</v>
      </c>
      <c r="I10" s="21" t="n">
        <v>2.714512254107879</v>
      </c>
      <c r="J10" s="22" t="n">
        <v>0</v>
      </c>
    </row>
    <row r="11">
      <c r="A11" s="5" t="inlineStr">
        <is>
          <t>RES · Resistencia al cambio</t>
        </is>
      </c>
      <c r="B11" s="22" t="n">
        <v>0</v>
      </c>
      <c r="C11" s="22" t="n">
        <v>0</v>
      </c>
      <c r="D11" s="23" t="n">
        <v>-0.9048374180359595</v>
      </c>
      <c r="E11" s="23" t="n">
        <v>-1.809674836071919</v>
      </c>
      <c r="F11" s="23" t="n">
        <v>-1.721415952850116</v>
      </c>
      <c r="G11" s="22" t="n">
        <v>0</v>
      </c>
      <c r="H11" s="20" t="inlineStr">
        <is>
          <t>—</t>
        </is>
      </c>
      <c r="I11" s="22" t="n">
        <v>0</v>
      </c>
      <c r="J11" s="22" t="n">
        <v>0</v>
      </c>
    </row>
    <row r="12">
      <c r="A12" s="5" t="inlineStr">
        <is>
          <t>RET · Retención estudiantil</t>
        </is>
      </c>
      <c r="B12" s="21" t="n">
        <v>0.8187307530779818</v>
      </c>
      <c r="C12" s="21" t="n">
        <v>1.721415952850116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0" t="inlineStr">
        <is>
          <t>—</t>
        </is>
      </c>
      <c r="J12" s="22" t="n">
        <v>0</v>
      </c>
    </row>
    <row r="13">
      <c r="A13" s="5" t="inlineStr">
        <is>
          <t>NOR · Normativa y acreditación</t>
        </is>
      </c>
      <c r="B13" s="21" t="n">
        <v>0.7408182206817179</v>
      </c>
      <c r="C13" s="21" t="n">
        <v>0.8187307530779818</v>
      </c>
      <c r="D13" s="22" t="n">
        <v>0</v>
      </c>
      <c r="E13" s="22" t="n">
        <v>0</v>
      </c>
      <c r="F13" s="21" t="n">
        <v>0.7408182206817179</v>
      </c>
      <c r="G13" s="22" t="n">
        <v>0</v>
      </c>
      <c r="H13" s="22" t="n">
        <v>0</v>
      </c>
      <c r="I13" s="22" t="n">
        <v>0</v>
      </c>
      <c r="J13" s="20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S^bruta (OPERADOR KATZ-BONACICH, α = 0.1695)</t>
        </is>
      </c>
    </row>
    <row r="2">
      <c r="A2" s="2" t="inlineStr">
        <is>
          <t>S^bruta = |W|(I - α|W|)⁻¹. Acumulación convergente de todas las cadenas causales indirectas infinitas.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4" t="n">
        <v>1.46592057393983</v>
      </c>
      <c r="C5" s="22" t="n">
        <v>4.517444987673217</v>
      </c>
      <c r="D5" s="22" t="n">
        <v>3.317457839969312</v>
      </c>
      <c r="E5" s="22" t="n">
        <v>8.545144406054764</v>
      </c>
      <c r="F5" s="22" t="n">
        <v>8.23299312111682</v>
      </c>
      <c r="G5" s="22" t="n">
        <v>7.398650684944265</v>
      </c>
      <c r="H5" s="22" t="n">
        <v>8.071869749012141</v>
      </c>
      <c r="I5" s="22" t="n">
        <v>3.865684240116183</v>
      </c>
      <c r="J5" s="22" t="n">
        <v>0</v>
      </c>
    </row>
    <row r="6">
      <c r="A6" s="5" t="inlineStr">
        <is>
          <t>INV · Inversión y presupuesto</t>
        </is>
      </c>
      <c r="B6" s="22" t="n">
        <v>1.125311645450641</v>
      </c>
      <c r="C6" s="24" t="n">
        <v>1.418498526558171</v>
      </c>
      <c r="D6" s="22" t="n">
        <v>3.83056331145824</v>
      </c>
      <c r="E6" s="22" t="n">
        <v>4.70709450976613</v>
      </c>
      <c r="F6" s="22" t="n">
        <v>3.162479642218536</v>
      </c>
      <c r="G6" s="22" t="n">
        <v>5.549000782052843</v>
      </c>
      <c r="H6" s="22" t="n">
        <v>3.019266511483517</v>
      </c>
      <c r="I6" s="22" t="n">
        <v>3.085623772405527</v>
      </c>
      <c r="J6" s="22" t="n">
        <v>0</v>
      </c>
    </row>
    <row r="7">
      <c r="A7" s="5" t="inlineStr">
        <is>
          <t>INF · Infraestructura tecnológica</t>
        </is>
      </c>
      <c r="B7" s="22" t="n">
        <v>1.230029073737875</v>
      </c>
      <c r="C7" s="22" t="n">
        <v>1.627893562063615</v>
      </c>
      <c r="D7" s="24" t="n">
        <v>1.170937222634377</v>
      </c>
      <c r="E7" s="22" t="n">
        <v>3.567527476732368</v>
      </c>
      <c r="F7" s="22" t="n">
        <v>3.238396263360756</v>
      </c>
      <c r="G7" s="22" t="n">
        <v>5.772308299762903</v>
      </c>
      <c r="H7" s="22" t="n">
        <v>2.748846215015519</v>
      </c>
      <c r="I7" s="22" t="n">
        <v>3.637934584367535</v>
      </c>
      <c r="J7" s="22" t="n">
        <v>0</v>
      </c>
    </row>
    <row r="8">
      <c r="A8" s="5" t="inlineStr">
        <is>
          <t>COM · Competencias docentes</t>
        </is>
      </c>
      <c r="B8" s="22" t="n">
        <v>1.201259849953459</v>
      </c>
      <c r="C8" s="22" t="n">
        <v>1.444109972427171</v>
      </c>
      <c r="D8" s="22" t="n">
        <v>1.477898581735794</v>
      </c>
      <c r="E8" s="24" t="n">
        <v>3.958993217981114</v>
      </c>
      <c r="F8" s="22" t="n">
        <v>4.979192122467872</v>
      </c>
      <c r="G8" s="22" t="n">
        <v>6.189039294874076</v>
      </c>
      <c r="H8" s="22" t="n">
        <v>5.301064994339096</v>
      </c>
      <c r="I8" s="22" t="n">
        <v>3.053611843666471</v>
      </c>
      <c r="J8" s="22" t="n">
        <v>0</v>
      </c>
    </row>
    <row r="9">
      <c r="A9" s="5" t="inlineStr">
        <is>
          <t>CUL · Cultura de innovación</t>
        </is>
      </c>
      <c r="B9" s="22" t="n">
        <v>0.9007613169109756</v>
      </c>
      <c r="C9" s="22" t="n">
        <v>1.090324157348167</v>
      </c>
      <c r="D9" s="22" t="n">
        <v>1.38607168653306</v>
      </c>
      <c r="E9" s="22" t="n">
        <v>5.182495336935358</v>
      </c>
      <c r="F9" s="24" t="n">
        <v>3.67922000145532</v>
      </c>
      <c r="G9" s="22" t="n">
        <v>4.612576755583421</v>
      </c>
      <c r="H9" s="22" t="n">
        <v>5.763866655080418</v>
      </c>
      <c r="I9" s="22" t="n">
        <v>2.315310179237102</v>
      </c>
      <c r="J9" s="22" t="n">
        <v>0</v>
      </c>
    </row>
    <row r="10">
      <c r="A10" s="5" t="inlineStr">
        <is>
          <t>EXP · Experiencia estudiantil</t>
        </is>
      </c>
      <c r="B10" s="22" t="n">
        <v>1.546575889290308</v>
      </c>
      <c r="C10" s="22" t="n">
        <v>1.83883822134632</v>
      </c>
      <c r="D10" s="22" t="n">
        <v>1.143188511217501</v>
      </c>
      <c r="E10" s="22" t="n">
        <v>2.251542848926266</v>
      </c>
      <c r="F10" s="22" t="n">
        <v>1.984907004061643</v>
      </c>
      <c r="G10" s="24" t="n">
        <v>2.14738170378525</v>
      </c>
      <c r="H10" s="22" t="n">
        <v>1.935137650324372</v>
      </c>
      <c r="I10" s="22" t="n">
        <v>3.861519631536507</v>
      </c>
      <c r="J10" s="22" t="n">
        <v>0</v>
      </c>
    </row>
    <row r="11">
      <c r="A11" s="5" t="inlineStr">
        <is>
          <t>RES · Resistencia al cambio</t>
        </is>
      </c>
      <c r="B11" s="22" t="n">
        <v>0.8201839968606749</v>
      </c>
      <c r="C11" s="22" t="n">
        <v>1.011061852673228</v>
      </c>
      <c r="D11" s="22" t="n">
        <v>1.942481083255581</v>
      </c>
      <c r="E11" s="22" t="n">
        <v>5.084298434472478</v>
      </c>
      <c r="F11" s="22" t="n">
        <v>4.819820008568112</v>
      </c>
      <c r="G11" s="22" t="n">
        <v>4.13077034747217</v>
      </c>
      <c r="H11" s="24" t="n">
        <v>3.730493173481435</v>
      </c>
      <c r="I11" s="22" t="n">
        <v>2.170800361821586</v>
      </c>
      <c r="J11" s="22" t="n">
        <v>0</v>
      </c>
    </row>
    <row r="12">
      <c r="A12" s="5" t="inlineStr">
        <is>
          <t>RET · Retención estudiantil</t>
        </is>
      </c>
      <c r="B12" s="22" t="n">
        <v>1.350660212375459</v>
      </c>
      <c r="C12" s="22" t="n">
        <v>2.762512908244746</v>
      </c>
      <c r="D12" s="22" t="n">
        <v>1.578515852913601</v>
      </c>
      <c r="E12" s="22" t="n">
        <v>2.560024106145279</v>
      </c>
      <c r="F12" s="22" t="n">
        <v>2.065875399448626</v>
      </c>
      <c r="G12" s="22" t="n">
        <v>2.64659592953064</v>
      </c>
      <c r="H12" s="22" t="n">
        <v>2.001710330170687</v>
      </c>
      <c r="I12" s="24" t="n">
        <v>1.437196761034053</v>
      </c>
      <c r="J12" s="22" t="n">
        <v>0</v>
      </c>
    </row>
    <row r="13">
      <c r="A13" s="5" t="inlineStr">
        <is>
          <t>NOR · Normativa y acreditación</t>
        </is>
      </c>
      <c r="B13" s="22" t="n">
        <v>1.194294847400352</v>
      </c>
      <c r="C13" s="22" t="n">
        <v>1.720002305974274</v>
      </c>
      <c r="D13" s="22" t="n">
        <v>1.122525008986613</v>
      </c>
      <c r="E13" s="22" t="n">
        <v>2.377672438156123</v>
      </c>
      <c r="F13" s="22" t="n">
        <v>2.676048862325422</v>
      </c>
      <c r="G13" s="22" t="n">
        <v>2.278951810723158</v>
      </c>
      <c r="H13" s="22" t="n">
        <v>2.156954369798139</v>
      </c>
      <c r="I13" s="22" t="n">
        <v>1.20469310463743</v>
      </c>
      <c r="J13" s="20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S^neta (CONSIGNO Y RETROALIMENTACIÓN)</t>
        </is>
      </c>
    </row>
    <row r="2">
      <c r="A2" s="2" t="inlineStr">
        <is>
          <t>S^neta = W(I - αW)⁻¹. Efectos netos considerando refuerzos e inhibiciones. Diagonal = Bucle propio F_i.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4" t="n">
        <v>1.46592057393983</v>
      </c>
      <c r="C5" s="21" t="n">
        <v>4.517444987673217</v>
      </c>
      <c r="D5" s="21" t="n">
        <v>3.317457839969312</v>
      </c>
      <c r="E5" s="21" t="n">
        <v>8.545144406054764</v>
      </c>
      <c r="F5" s="21" t="n">
        <v>8.23299312111682</v>
      </c>
      <c r="G5" s="21" t="n">
        <v>7.398650684944265</v>
      </c>
      <c r="H5" s="23" t="n">
        <v>-8.071869749012141</v>
      </c>
      <c r="I5" s="21" t="n">
        <v>3.865684240116183</v>
      </c>
      <c r="J5" s="22" t="n">
        <v>0</v>
      </c>
    </row>
    <row r="6">
      <c r="A6" s="5" t="inlineStr">
        <is>
          <t>INV · Inversión y presupuesto</t>
        </is>
      </c>
      <c r="B6" s="21" t="n">
        <v>1.125311645450641</v>
      </c>
      <c r="C6" s="24" t="n">
        <v>1.418498526558171</v>
      </c>
      <c r="D6" s="21" t="n">
        <v>3.83056331145824</v>
      </c>
      <c r="E6" s="21" t="n">
        <v>4.70709450976613</v>
      </c>
      <c r="F6" s="21" t="n">
        <v>3.162479642218536</v>
      </c>
      <c r="G6" s="21" t="n">
        <v>5.549000782052843</v>
      </c>
      <c r="H6" s="23" t="n">
        <v>-3.019266511483517</v>
      </c>
      <c r="I6" s="21" t="n">
        <v>3.085623772405527</v>
      </c>
      <c r="J6" s="22" t="n">
        <v>0</v>
      </c>
    </row>
    <row r="7">
      <c r="A7" s="5" t="inlineStr">
        <is>
          <t>INF · Infraestructura tecnológica</t>
        </is>
      </c>
      <c r="B7" s="21" t="n">
        <v>1.230029073737875</v>
      </c>
      <c r="C7" s="21" t="n">
        <v>1.627893562063615</v>
      </c>
      <c r="D7" s="24" t="n">
        <v>1.170937222634377</v>
      </c>
      <c r="E7" s="21" t="n">
        <v>3.567527476732368</v>
      </c>
      <c r="F7" s="21" t="n">
        <v>3.238396263360756</v>
      </c>
      <c r="G7" s="21" t="n">
        <v>5.772308299762903</v>
      </c>
      <c r="H7" s="23" t="n">
        <v>-2.748846215015519</v>
      </c>
      <c r="I7" s="21" t="n">
        <v>3.637934584367535</v>
      </c>
      <c r="J7" s="22" t="n">
        <v>0</v>
      </c>
    </row>
    <row r="8">
      <c r="A8" s="5" t="inlineStr">
        <is>
          <t>COM · Competencias docentes</t>
        </is>
      </c>
      <c r="B8" s="21" t="n">
        <v>1.201259849953459</v>
      </c>
      <c r="C8" s="21" t="n">
        <v>1.444109972427171</v>
      </c>
      <c r="D8" s="21" t="n">
        <v>1.477898581735794</v>
      </c>
      <c r="E8" s="24" t="n">
        <v>3.958993217981114</v>
      </c>
      <c r="F8" s="21" t="n">
        <v>4.979192122467872</v>
      </c>
      <c r="G8" s="21" t="n">
        <v>6.189039294874076</v>
      </c>
      <c r="H8" s="23" t="n">
        <v>-5.301064994339096</v>
      </c>
      <c r="I8" s="21" t="n">
        <v>3.053611843666471</v>
      </c>
      <c r="J8" s="22" t="n">
        <v>0</v>
      </c>
    </row>
    <row r="9">
      <c r="A9" s="5" t="inlineStr">
        <is>
          <t>CUL · Cultura de innovación</t>
        </is>
      </c>
      <c r="B9" s="21" t="n">
        <v>0.9007613169109756</v>
      </c>
      <c r="C9" s="21" t="n">
        <v>1.090324157348167</v>
      </c>
      <c r="D9" s="21" t="n">
        <v>1.38607168653306</v>
      </c>
      <c r="E9" s="21" t="n">
        <v>5.182495336935358</v>
      </c>
      <c r="F9" s="24" t="n">
        <v>3.67922000145532</v>
      </c>
      <c r="G9" s="21" t="n">
        <v>4.612576755583421</v>
      </c>
      <c r="H9" s="23" t="n">
        <v>-5.763866655080418</v>
      </c>
      <c r="I9" s="21" t="n">
        <v>2.315310179237102</v>
      </c>
      <c r="J9" s="22" t="n">
        <v>0</v>
      </c>
    </row>
    <row r="10">
      <c r="A10" s="5" t="inlineStr">
        <is>
          <t>EXP · Experiencia estudiantil</t>
        </is>
      </c>
      <c r="B10" s="21" t="n">
        <v>1.546575889290308</v>
      </c>
      <c r="C10" s="21" t="n">
        <v>1.83883822134632</v>
      </c>
      <c r="D10" s="21" t="n">
        <v>1.143188511217501</v>
      </c>
      <c r="E10" s="21" t="n">
        <v>2.251542848926266</v>
      </c>
      <c r="F10" s="21" t="n">
        <v>1.984907004061643</v>
      </c>
      <c r="G10" s="24" t="n">
        <v>2.14738170378525</v>
      </c>
      <c r="H10" s="23" t="n">
        <v>-1.935137650324372</v>
      </c>
      <c r="I10" s="21" t="n">
        <v>3.861519631536507</v>
      </c>
      <c r="J10" s="22" t="n">
        <v>0</v>
      </c>
    </row>
    <row r="11">
      <c r="A11" s="5" t="inlineStr">
        <is>
          <t>RES · Resistencia al cambio</t>
        </is>
      </c>
      <c r="B11" s="23" t="n">
        <v>-0.8201839968606749</v>
      </c>
      <c r="C11" s="23" t="n">
        <v>-1.011061852673228</v>
      </c>
      <c r="D11" s="23" t="n">
        <v>-1.942481083255581</v>
      </c>
      <c r="E11" s="23" t="n">
        <v>-5.084298434472478</v>
      </c>
      <c r="F11" s="23" t="n">
        <v>-4.819820008568112</v>
      </c>
      <c r="G11" s="23" t="n">
        <v>-4.13077034747217</v>
      </c>
      <c r="H11" s="24" t="n">
        <v>3.730493173481435</v>
      </c>
      <c r="I11" s="23" t="n">
        <v>-2.170800361821586</v>
      </c>
      <c r="J11" s="22" t="n">
        <v>0</v>
      </c>
    </row>
    <row r="12">
      <c r="A12" s="5" t="inlineStr">
        <is>
          <t>RET · Retención estudiantil</t>
        </is>
      </c>
      <c r="B12" s="21" t="n">
        <v>1.350660212375459</v>
      </c>
      <c r="C12" s="21" t="n">
        <v>2.762512908244746</v>
      </c>
      <c r="D12" s="21" t="n">
        <v>1.578515852913601</v>
      </c>
      <c r="E12" s="21" t="n">
        <v>2.560024106145279</v>
      </c>
      <c r="F12" s="21" t="n">
        <v>2.065875399448626</v>
      </c>
      <c r="G12" s="21" t="n">
        <v>2.64659592953064</v>
      </c>
      <c r="H12" s="23" t="n">
        <v>-2.001710330170687</v>
      </c>
      <c r="I12" s="24" t="n">
        <v>1.437196761034053</v>
      </c>
      <c r="J12" s="22" t="n">
        <v>0</v>
      </c>
    </row>
    <row r="13">
      <c r="A13" s="5" t="inlineStr">
        <is>
          <t>NOR · Normativa y acreditación</t>
        </is>
      </c>
      <c r="B13" s="21" t="n">
        <v>1.194294847400352</v>
      </c>
      <c r="C13" s="21" t="n">
        <v>1.720002305974274</v>
      </c>
      <c r="D13" s="21" t="n">
        <v>1.122525008986613</v>
      </c>
      <c r="E13" s="21" t="n">
        <v>2.377672438156123</v>
      </c>
      <c r="F13" s="21" t="n">
        <v>2.676048862325422</v>
      </c>
      <c r="G13" s="21" t="n">
        <v>2.278951810723158</v>
      </c>
      <c r="H13" s="23" t="n">
        <v>-2.156954369798139</v>
      </c>
      <c r="I13" s="21" t="n">
        <v>1.20469310463743</v>
      </c>
      <c r="J13" s="20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36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DE FLUJOS NETOS INDIRECTOS (S^neta - W)</t>
        </is>
      </c>
    </row>
    <row r="2">
      <c r="A2" s="2" t="inlineStr">
        <is>
          <t>Aísla el efecto transmitido exclusivamente a través de bucles y mediaciones indirectas.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4" t="n">
        <v>1.46592057393983</v>
      </c>
      <c r="C5" s="21" t="n">
        <v>1.802932733565338</v>
      </c>
      <c r="D5" s="21" t="n">
        <v>3.317457839969312</v>
      </c>
      <c r="E5" s="21" t="n">
        <v>6.9076828998988</v>
      </c>
      <c r="F5" s="21" t="n">
        <v>5.776800861882874</v>
      </c>
      <c r="G5" s="21" t="n">
        <v>7.398650684944265</v>
      </c>
      <c r="H5" s="23" t="n">
        <v>-6.350453796162025</v>
      </c>
      <c r="I5" s="21" t="n">
        <v>3.865684240116183</v>
      </c>
      <c r="J5" s="22" t="n">
        <v>0</v>
      </c>
    </row>
    <row r="6">
      <c r="A6" s="5" t="inlineStr">
        <is>
          <t>INV · Inversión y presupuesto</t>
        </is>
      </c>
      <c r="B6" s="21" t="n">
        <v>1.125311645450641</v>
      </c>
      <c r="C6" s="24" t="n">
        <v>1.418498526558171</v>
      </c>
      <c r="D6" s="21" t="n">
        <v>1.116051057350361</v>
      </c>
      <c r="E6" s="21" t="n">
        <v>3.069633003610167</v>
      </c>
      <c r="F6" s="21" t="n">
        <v>3.162479642218536</v>
      </c>
      <c r="G6" s="21" t="n">
        <v>4.688292805627785</v>
      </c>
      <c r="H6" s="23" t="n">
        <v>-3.019266511483517</v>
      </c>
      <c r="I6" s="21" t="n">
        <v>3.085623772405527</v>
      </c>
      <c r="J6" s="22" t="n">
        <v>0</v>
      </c>
    </row>
    <row r="7">
      <c r="A7" s="5" t="inlineStr">
        <is>
          <t>INF · Infraestructura tecnológica</t>
        </is>
      </c>
      <c r="B7" s="21" t="n">
        <v>1.230029073737875</v>
      </c>
      <c r="C7" s="21" t="n">
        <v>1.627893562063615</v>
      </c>
      <c r="D7" s="24" t="n">
        <v>1.170937222634377</v>
      </c>
      <c r="E7" s="21" t="n">
        <v>2.706819500307311</v>
      </c>
      <c r="F7" s="21" t="n">
        <v>2.459595480289351</v>
      </c>
      <c r="G7" s="21" t="n">
        <v>2.918620026260761</v>
      </c>
      <c r="H7" s="23" t="n">
        <v>-2.748846215015519</v>
      </c>
      <c r="I7" s="21" t="n">
        <v>2.819203831289554</v>
      </c>
      <c r="J7" s="22" t="n">
        <v>0</v>
      </c>
    </row>
    <row r="8">
      <c r="A8" s="5" t="inlineStr">
        <is>
          <t>COM · Competencias docentes</t>
        </is>
      </c>
      <c r="B8" s="21" t="n">
        <v>1.201259849953459</v>
      </c>
      <c r="C8" s="21" t="n">
        <v>1.444109972427171</v>
      </c>
      <c r="D8" s="21" t="n">
        <v>1.477898581735794</v>
      </c>
      <c r="E8" s="24" t="n">
        <v>3.958993217981114</v>
      </c>
      <c r="F8" s="21" t="n">
        <v>3.341730616311908</v>
      </c>
      <c r="G8" s="21" t="n">
        <v>3.474527040766198</v>
      </c>
      <c r="H8" s="23" t="n">
        <v>-3.57964904148898</v>
      </c>
      <c r="I8" s="21" t="n">
        <v>3.053611843666471</v>
      </c>
      <c r="J8" s="22" t="n">
        <v>0</v>
      </c>
    </row>
    <row r="9">
      <c r="A9" s="5" t="inlineStr">
        <is>
          <t>CUL · Cultura de innovación</t>
        </is>
      </c>
      <c r="B9" s="21" t="n">
        <v>0.9007613169109756</v>
      </c>
      <c r="C9" s="21" t="n">
        <v>1.090324157348167</v>
      </c>
      <c r="D9" s="21" t="n">
        <v>1.38607168653306</v>
      </c>
      <c r="E9" s="21" t="n">
        <v>3.545033830779395</v>
      </c>
      <c r="F9" s="24" t="n">
        <v>3.67922000145532</v>
      </c>
      <c r="G9" s="21" t="n">
        <v>3.751868779158364</v>
      </c>
      <c r="H9" s="23" t="n">
        <v>-3.307674395846472</v>
      </c>
      <c r="I9" s="21" t="n">
        <v>2.315310179237102</v>
      </c>
      <c r="J9" s="22" t="n">
        <v>0</v>
      </c>
    </row>
    <row r="10">
      <c r="A10" s="5" t="inlineStr">
        <is>
          <t>EXP · Experiencia estudiantil</t>
        </is>
      </c>
      <c r="B10" s="21" t="n">
        <v>0.80575766860859</v>
      </c>
      <c r="C10" s="21" t="n">
        <v>1.83883822134632</v>
      </c>
      <c r="D10" s="21" t="n">
        <v>1.143188511217501</v>
      </c>
      <c r="E10" s="21" t="n">
        <v>2.251542848926266</v>
      </c>
      <c r="F10" s="21" t="n">
        <v>1.984907004061643</v>
      </c>
      <c r="G10" s="24" t="n">
        <v>2.14738170378525</v>
      </c>
      <c r="H10" s="23" t="n">
        <v>-1.935137650324372</v>
      </c>
      <c r="I10" s="21" t="n">
        <v>1.147007377428629</v>
      </c>
      <c r="J10" s="22" t="n">
        <v>0</v>
      </c>
    </row>
    <row r="11">
      <c r="A11" s="5" t="inlineStr">
        <is>
          <t>RES · Resistencia al cambio</t>
        </is>
      </c>
      <c r="B11" s="23" t="n">
        <v>-0.8201839968606749</v>
      </c>
      <c r="C11" s="23" t="n">
        <v>-1.011061852673228</v>
      </c>
      <c r="D11" s="23" t="n">
        <v>-1.037643665219621</v>
      </c>
      <c r="E11" s="23" t="n">
        <v>-3.274623598400559</v>
      </c>
      <c r="F11" s="23" t="n">
        <v>-3.098404055717997</v>
      </c>
      <c r="G11" s="23" t="n">
        <v>-4.13077034747217</v>
      </c>
      <c r="H11" s="24" t="n">
        <v>3.730493173481435</v>
      </c>
      <c r="I11" s="23" t="n">
        <v>-2.170800361821586</v>
      </c>
      <c r="J11" s="22" t="n">
        <v>0</v>
      </c>
    </row>
    <row r="12">
      <c r="A12" s="5" t="inlineStr">
        <is>
          <t>RET · Retención estudiantil</t>
        </is>
      </c>
      <c r="B12" s="21" t="n">
        <v>0.5319294592974771</v>
      </c>
      <c r="C12" s="21" t="n">
        <v>1.041096955394631</v>
      </c>
      <c r="D12" s="21" t="n">
        <v>1.578515852913601</v>
      </c>
      <c r="E12" s="21" t="n">
        <v>2.560024106145279</v>
      </c>
      <c r="F12" s="21" t="n">
        <v>2.065875399448626</v>
      </c>
      <c r="G12" s="21" t="n">
        <v>2.64659592953064</v>
      </c>
      <c r="H12" s="23" t="n">
        <v>-2.001710330170687</v>
      </c>
      <c r="I12" s="24" t="n">
        <v>1.437196761034053</v>
      </c>
      <c r="J12" s="22" t="n">
        <v>0</v>
      </c>
    </row>
    <row r="13">
      <c r="A13" s="5" t="inlineStr">
        <is>
          <t>NOR · Normativa y acreditación</t>
        </is>
      </c>
      <c r="B13" s="21" t="n">
        <v>0.453476626718634</v>
      </c>
      <c r="C13" s="21" t="n">
        <v>0.9012715528962917</v>
      </c>
      <c r="D13" s="21" t="n">
        <v>1.122525008986613</v>
      </c>
      <c r="E13" s="21" t="n">
        <v>2.377672438156123</v>
      </c>
      <c r="F13" s="21" t="n">
        <v>1.935230641643704</v>
      </c>
      <c r="G13" s="21" t="n">
        <v>2.278951810723158</v>
      </c>
      <c r="H13" s="23" t="n">
        <v>-2.156954369798139</v>
      </c>
      <c r="I13" s="21" t="n">
        <v>1.20469310463743</v>
      </c>
      <c r="J13" s="24" t="n">
        <v>0</v>
      </c>
    </row>
    <row r="14"/>
    <row r="15"/>
    <row r="16">
      <c r="A16" s="25" t="inlineStr">
        <is>
          <t>RANKING DE CADENAS INDIRECTAS MÁS SIGNIFICATIVAS (|Flujo| ≥ 0.05)</t>
        </is>
      </c>
    </row>
    <row r="17">
      <c r="A17" s="26" t="inlineStr">
        <is>
          <t>Origen</t>
        </is>
      </c>
      <c r="B17" s="26" t="inlineStr">
        <is>
          <t>Destino</t>
        </is>
      </c>
      <c r="C17" s="26" t="inlineStr">
        <is>
          <t>Flujo Neto Indirecto</t>
        </is>
      </c>
      <c r="D17" s="26" t="inlineStr">
        <is>
          <t>Naturaleza Sistémica</t>
        </is>
      </c>
    </row>
    <row r="18">
      <c r="A18" s="6" t="inlineStr">
        <is>
          <t>LID · Liderazgo directivo</t>
        </is>
      </c>
      <c r="B18" s="6" t="inlineStr">
        <is>
          <t>EXP · Experiencia estudiantil</t>
        </is>
      </c>
      <c r="C18" s="21" t="n">
        <v>7.398650684944265</v>
      </c>
      <c r="D18" s="6" t="inlineStr">
        <is>
          <t>Impulso / Refuerzo indirecto (+)</t>
        </is>
      </c>
    </row>
    <row r="19">
      <c r="A19" s="6" t="inlineStr">
        <is>
          <t>LID · Liderazgo directivo</t>
        </is>
      </c>
      <c r="B19" s="6" t="inlineStr">
        <is>
          <t>COM · Competencias docentes</t>
        </is>
      </c>
      <c r="C19" s="21" t="n">
        <v>6.9076828998988</v>
      </c>
      <c r="D19" s="6" t="inlineStr">
        <is>
          <t>Impulso / Refuerzo indirecto (+)</t>
        </is>
      </c>
    </row>
    <row r="20">
      <c r="A20" s="6" t="inlineStr">
        <is>
          <t>LID · Liderazgo directivo</t>
        </is>
      </c>
      <c r="B20" s="6" t="inlineStr">
        <is>
          <t>RES · Resistencia al cambio</t>
        </is>
      </c>
      <c r="C20" s="23" t="n">
        <v>-6.350453796162025</v>
      </c>
      <c r="D20" s="6" t="inlineStr">
        <is>
          <t>Freno / Inhibición indirecta (-)</t>
        </is>
      </c>
    </row>
    <row r="21">
      <c r="A21" s="6" t="inlineStr">
        <is>
          <t>LID · Liderazgo directivo</t>
        </is>
      </c>
      <c r="B21" s="6" t="inlineStr">
        <is>
          <t>CUL · Cultura de innovación</t>
        </is>
      </c>
      <c r="C21" s="21" t="n">
        <v>5.776800861882874</v>
      </c>
      <c r="D21" s="6" t="inlineStr">
        <is>
          <t>Impulso / Refuerzo indirecto (+)</t>
        </is>
      </c>
    </row>
    <row r="22">
      <c r="A22" s="6" t="inlineStr">
        <is>
          <t>INV · Inversión y presupuesto</t>
        </is>
      </c>
      <c r="B22" s="6" t="inlineStr">
        <is>
          <t>EXP · Experiencia estudiantil</t>
        </is>
      </c>
      <c r="C22" s="21" t="n">
        <v>4.688292805627785</v>
      </c>
      <c r="D22" s="6" t="inlineStr">
        <is>
          <t>Impulso / Refuerzo indirecto (+)</t>
        </is>
      </c>
    </row>
    <row r="23">
      <c r="A23" s="6" t="inlineStr">
        <is>
          <t>RES · Resistencia al cambio</t>
        </is>
      </c>
      <c r="B23" s="6" t="inlineStr">
        <is>
          <t>EXP · Experiencia estudiantil</t>
        </is>
      </c>
      <c r="C23" s="23" t="n">
        <v>-4.13077034747217</v>
      </c>
      <c r="D23" s="6" t="inlineStr">
        <is>
          <t>Freno / Inhibición indirecta (-)</t>
        </is>
      </c>
    </row>
    <row r="24">
      <c r="A24" s="6" t="inlineStr">
        <is>
          <t>LID · Liderazgo directivo</t>
        </is>
      </c>
      <c r="B24" s="6" t="inlineStr">
        <is>
          <t>RET · Retención estudiantil</t>
        </is>
      </c>
      <c r="C24" s="21" t="n">
        <v>3.865684240116183</v>
      </c>
      <c r="D24" s="6" t="inlineStr">
        <is>
          <t>Impulso / Refuerzo indirecto (+)</t>
        </is>
      </c>
    </row>
    <row r="25">
      <c r="A25" s="6" t="inlineStr">
        <is>
          <t>CUL · Cultura de innovación</t>
        </is>
      </c>
      <c r="B25" s="6" t="inlineStr">
        <is>
          <t>EXP · Experiencia estudiantil</t>
        </is>
      </c>
      <c r="C25" s="21" t="n">
        <v>3.751868779158364</v>
      </c>
      <c r="D25" s="6" t="inlineStr">
        <is>
          <t>Impulso / Refuerzo indirecto (+)</t>
        </is>
      </c>
    </row>
    <row r="26">
      <c r="A26" s="6" t="inlineStr">
        <is>
          <t>COM · Competencias docentes</t>
        </is>
      </c>
      <c r="B26" s="6" t="inlineStr">
        <is>
          <t>RES · Resistencia al cambio</t>
        </is>
      </c>
      <c r="C26" s="23" t="n">
        <v>-3.57964904148898</v>
      </c>
      <c r="D26" s="6" t="inlineStr">
        <is>
          <t>Freno / Inhibición indirecta (-)</t>
        </is>
      </c>
    </row>
    <row r="27">
      <c r="A27" s="6" t="inlineStr">
        <is>
          <t>CUL · Cultura de innovación</t>
        </is>
      </c>
      <c r="B27" s="6" t="inlineStr">
        <is>
          <t>COM · Competencias docentes</t>
        </is>
      </c>
      <c r="C27" s="21" t="n">
        <v>3.545033830779395</v>
      </c>
      <c r="D27" s="6" t="inlineStr">
        <is>
          <t>Impulso / Refuerzo indirecto (+)</t>
        </is>
      </c>
    </row>
    <row r="28">
      <c r="A28" s="6" t="inlineStr">
        <is>
          <t>COM · Competencias docentes</t>
        </is>
      </c>
      <c r="B28" s="6" t="inlineStr">
        <is>
          <t>EXP · Experiencia estudiantil</t>
        </is>
      </c>
      <c r="C28" s="21" t="n">
        <v>3.474527040766198</v>
      </c>
      <c r="D28" s="6" t="inlineStr">
        <is>
          <t>Impulso / Refuerzo indirecto (+)</t>
        </is>
      </c>
    </row>
    <row r="29">
      <c r="A29" s="6" t="inlineStr">
        <is>
          <t>COM · Competencias docentes</t>
        </is>
      </c>
      <c r="B29" s="6" t="inlineStr">
        <is>
          <t>CUL · Cultura de innovación</t>
        </is>
      </c>
      <c r="C29" s="21" t="n">
        <v>3.341730616311908</v>
      </c>
      <c r="D29" s="6" t="inlineStr">
        <is>
          <t>Impulso / Refuerzo indirecto (+)</t>
        </is>
      </c>
    </row>
    <row r="30">
      <c r="A30" s="6" t="inlineStr">
        <is>
          <t>LID · Liderazgo directivo</t>
        </is>
      </c>
      <c r="B30" s="6" t="inlineStr">
        <is>
          <t>INF · Infraestructura tecnológica</t>
        </is>
      </c>
      <c r="C30" s="21" t="n">
        <v>3.317457839969312</v>
      </c>
      <c r="D30" s="6" t="inlineStr">
        <is>
          <t>Impulso / Refuerzo indirecto (+)</t>
        </is>
      </c>
    </row>
    <row r="31">
      <c r="A31" s="6" t="inlineStr">
        <is>
          <t>CUL · Cultura de innovación</t>
        </is>
      </c>
      <c r="B31" s="6" t="inlineStr">
        <is>
          <t>RES · Resistencia al cambio</t>
        </is>
      </c>
      <c r="C31" s="23" t="n">
        <v>-3.307674395846472</v>
      </c>
      <c r="D31" s="6" t="inlineStr">
        <is>
          <t>Freno / Inhibición indirecta (-)</t>
        </is>
      </c>
    </row>
    <row r="32">
      <c r="A32" s="6" t="inlineStr">
        <is>
          <t>RES · Resistencia al cambio</t>
        </is>
      </c>
      <c r="B32" s="6" t="inlineStr">
        <is>
          <t>COM · Competencias docentes</t>
        </is>
      </c>
      <c r="C32" s="23" t="n">
        <v>-3.274623598400559</v>
      </c>
      <c r="D32" s="6" t="inlineStr">
        <is>
          <t>Freno / Inhibición indirecta (-)</t>
        </is>
      </c>
    </row>
    <row r="33">
      <c r="A33" s="6" t="inlineStr">
        <is>
          <t>INV · Inversión y presupuesto</t>
        </is>
      </c>
      <c r="B33" s="6" t="inlineStr">
        <is>
          <t>CUL · Cultura de innovación</t>
        </is>
      </c>
      <c r="C33" s="21" t="n">
        <v>3.162479642218536</v>
      </c>
      <c r="D33" s="6" t="inlineStr">
        <is>
          <t>Impulso / Refuerzo indirecto (+)</t>
        </is>
      </c>
    </row>
    <row r="34">
      <c r="A34" s="6" t="inlineStr">
        <is>
          <t>RES · Resistencia al cambio</t>
        </is>
      </c>
      <c r="B34" s="6" t="inlineStr">
        <is>
          <t>CUL · Cultura de innovación</t>
        </is>
      </c>
      <c r="C34" s="23" t="n">
        <v>-3.098404055717997</v>
      </c>
      <c r="D34" s="6" t="inlineStr">
        <is>
          <t>Freno / Inhibición indirecta (-)</t>
        </is>
      </c>
    </row>
    <row r="35">
      <c r="A35" s="6" t="inlineStr">
        <is>
          <t>INV · Inversión y presupuesto</t>
        </is>
      </c>
      <c r="B35" s="6" t="inlineStr">
        <is>
          <t>RET · Retención estudiantil</t>
        </is>
      </c>
      <c r="C35" s="21" t="n">
        <v>3.085623772405527</v>
      </c>
      <c r="D35" s="6" t="inlineStr">
        <is>
          <t>Impulso / Refuerzo indirecto (+)</t>
        </is>
      </c>
    </row>
    <row r="36">
      <c r="A36" s="6" t="inlineStr">
        <is>
          <t>INV · Inversión y presupuesto</t>
        </is>
      </c>
      <c r="B36" s="6" t="inlineStr">
        <is>
          <t>COM · Competencias docentes</t>
        </is>
      </c>
      <c r="C36" s="21" t="n">
        <v>3.069633003610167</v>
      </c>
      <c r="D36" s="6" t="inlineStr">
        <is>
          <t>Impulso / Refuerzo indirecto (+)</t>
        </is>
      </c>
    </row>
    <row r="37">
      <c r="A37" s="6" t="inlineStr">
        <is>
          <t>COM · Competencias docentes</t>
        </is>
      </c>
      <c r="B37" s="6" t="inlineStr">
        <is>
          <t>RET · Retención estudiantil</t>
        </is>
      </c>
      <c r="C37" s="21" t="n">
        <v>3.053611843666471</v>
      </c>
      <c r="D37" s="6" t="inlineStr">
        <is>
          <t>Impulso / Refuerzo indirecto (+)</t>
        </is>
      </c>
    </row>
    <row r="38">
      <c r="A38" s="6" t="inlineStr">
        <is>
          <t>INV · Inversión y presupuesto</t>
        </is>
      </c>
      <c r="B38" s="6" t="inlineStr">
        <is>
          <t>RES · Resistencia al cambio</t>
        </is>
      </c>
      <c r="C38" s="23" t="n">
        <v>-3.019266511483517</v>
      </c>
      <c r="D38" s="6" t="inlineStr">
        <is>
          <t>Freno / Inhibición indirecta (-)</t>
        </is>
      </c>
    </row>
    <row r="39">
      <c r="A39" s="6" t="inlineStr">
        <is>
          <t>INF · Infraestructura tecnológica</t>
        </is>
      </c>
      <c r="B39" s="6" t="inlineStr">
        <is>
          <t>EXP · Experiencia estudiantil</t>
        </is>
      </c>
      <c r="C39" s="21" t="n">
        <v>2.918620026260761</v>
      </c>
      <c r="D39" s="6" t="inlineStr">
        <is>
          <t>Impulso / Refuerzo indirecto (+)</t>
        </is>
      </c>
    </row>
    <row r="40">
      <c r="A40" s="6" t="inlineStr">
        <is>
          <t>INF · Infraestructura tecnológica</t>
        </is>
      </c>
      <c r="B40" s="6" t="inlineStr">
        <is>
          <t>RET · Retención estudiantil</t>
        </is>
      </c>
      <c r="C40" s="21" t="n">
        <v>2.819203831289554</v>
      </c>
      <c r="D40" s="6" t="inlineStr">
        <is>
          <t>Impulso / Refuerzo indirecto (+)</t>
        </is>
      </c>
    </row>
    <row r="41">
      <c r="A41" s="6" t="inlineStr">
        <is>
          <t>INF · Infraestructura tecnológica</t>
        </is>
      </c>
      <c r="B41" s="6" t="inlineStr">
        <is>
          <t>RES · Resistencia al cambio</t>
        </is>
      </c>
      <c r="C41" s="23" t="n">
        <v>-2.748846215015519</v>
      </c>
      <c r="D41" s="6" t="inlineStr">
        <is>
          <t>Freno / Inhibición indirecta (-)</t>
        </is>
      </c>
    </row>
    <row r="42">
      <c r="A42" s="6" t="inlineStr">
        <is>
          <t>INF · Infraestructura tecnológica</t>
        </is>
      </c>
      <c r="B42" s="6" t="inlineStr">
        <is>
          <t>COM · Competencias docentes</t>
        </is>
      </c>
      <c r="C42" s="21" t="n">
        <v>2.706819500307311</v>
      </c>
      <c r="D42" s="6" t="inlineStr">
        <is>
          <t>Impulso / Refuerzo indirecto (+)</t>
        </is>
      </c>
    </row>
    <row r="43">
      <c r="A43" s="6" t="inlineStr">
        <is>
          <t>RET · Retención estudiantil</t>
        </is>
      </c>
      <c r="B43" s="6" t="inlineStr">
        <is>
          <t>EXP · Experiencia estudiantil</t>
        </is>
      </c>
      <c r="C43" s="21" t="n">
        <v>2.64659592953064</v>
      </c>
      <c r="D43" s="6" t="inlineStr">
        <is>
          <t>Impulso / Refuerzo indirecto (+)</t>
        </is>
      </c>
    </row>
    <row r="44">
      <c r="A44" s="6" t="inlineStr">
        <is>
          <t>RET · Retención estudiantil</t>
        </is>
      </c>
      <c r="B44" s="6" t="inlineStr">
        <is>
          <t>COM · Competencias docentes</t>
        </is>
      </c>
      <c r="C44" s="21" t="n">
        <v>2.560024106145279</v>
      </c>
      <c r="D44" s="6" t="inlineStr">
        <is>
          <t>Impulso / Refuerzo indirecto (+)</t>
        </is>
      </c>
    </row>
    <row r="45">
      <c r="A45" s="6" t="inlineStr">
        <is>
          <t>INF · Infraestructura tecnológica</t>
        </is>
      </c>
      <c r="B45" s="6" t="inlineStr">
        <is>
          <t>CUL · Cultura de innovación</t>
        </is>
      </c>
      <c r="C45" s="21" t="n">
        <v>2.459595480289351</v>
      </c>
      <c r="D45" s="6" t="inlineStr">
        <is>
          <t>Impulso / Refuerzo indirecto (+)</t>
        </is>
      </c>
    </row>
    <row r="46">
      <c r="A46" s="6" t="inlineStr">
        <is>
          <t>NOR · Normativa y acreditación</t>
        </is>
      </c>
      <c r="B46" s="6" t="inlineStr">
        <is>
          <t>COM · Competencias docentes</t>
        </is>
      </c>
      <c r="C46" s="21" t="n">
        <v>2.377672438156123</v>
      </c>
      <c r="D46" s="6" t="inlineStr">
        <is>
          <t>Impulso / Refuerzo indirecto (+)</t>
        </is>
      </c>
    </row>
    <row r="47">
      <c r="A47" s="6" t="inlineStr">
        <is>
          <t>CUL · Cultura de innovación</t>
        </is>
      </c>
      <c r="B47" s="6" t="inlineStr">
        <is>
          <t>RET · Retención estudiantil</t>
        </is>
      </c>
      <c r="C47" s="21" t="n">
        <v>2.315310179237102</v>
      </c>
      <c r="D47" s="6" t="inlineStr">
        <is>
          <t>Impulso / Refuerzo indirecto (+)</t>
        </is>
      </c>
    </row>
    <row r="48">
      <c r="A48" s="6" t="inlineStr">
        <is>
          <t>NOR · Normativa y acreditación</t>
        </is>
      </c>
      <c r="B48" s="6" t="inlineStr">
        <is>
          <t>EXP · Experiencia estudiantil</t>
        </is>
      </c>
      <c r="C48" s="21" t="n">
        <v>2.278951810723158</v>
      </c>
      <c r="D48" s="6" t="inlineStr">
        <is>
          <t>Impulso / Refuerzo indirecto (+)</t>
        </is>
      </c>
    </row>
    <row r="49">
      <c r="A49" s="6" t="inlineStr">
        <is>
          <t>EXP · Experiencia estudiantil</t>
        </is>
      </c>
      <c r="B49" s="6" t="inlineStr">
        <is>
          <t>COM · Competencias docentes</t>
        </is>
      </c>
      <c r="C49" s="21" t="n">
        <v>2.251542848926266</v>
      </c>
      <c r="D49" s="6" t="inlineStr">
        <is>
          <t>Impulso / Refuerzo indirecto (+)</t>
        </is>
      </c>
    </row>
    <row r="50">
      <c r="A50" s="6" t="inlineStr">
        <is>
          <t>RES · Resistencia al cambio</t>
        </is>
      </c>
      <c r="B50" s="6" t="inlineStr">
        <is>
          <t>RET · Retención estudiantil</t>
        </is>
      </c>
      <c r="C50" s="23" t="n">
        <v>-2.170800361821586</v>
      </c>
      <c r="D50" s="6" t="inlineStr">
        <is>
          <t>Freno / Inhibición indirecta (-)</t>
        </is>
      </c>
    </row>
    <row r="51">
      <c r="A51" s="6" t="inlineStr">
        <is>
          <t>NOR · Normativa y acreditación</t>
        </is>
      </c>
      <c r="B51" s="6" t="inlineStr">
        <is>
          <t>RES · Resistencia al cambio</t>
        </is>
      </c>
      <c r="C51" s="23" t="n">
        <v>-2.156954369798139</v>
      </c>
      <c r="D51" s="6" t="inlineStr">
        <is>
          <t>Freno / Inhibición indirecta (-)</t>
        </is>
      </c>
    </row>
    <row r="52">
      <c r="A52" s="6" t="inlineStr">
        <is>
          <t>RET · Retención estudiantil</t>
        </is>
      </c>
      <c r="B52" s="6" t="inlineStr">
        <is>
          <t>CUL · Cultura de innovación</t>
        </is>
      </c>
      <c r="C52" s="21" t="n">
        <v>2.065875399448626</v>
      </c>
      <c r="D52" s="6" t="inlineStr">
        <is>
          <t>Impulso / Refuerzo indirecto (+)</t>
        </is>
      </c>
    </row>
    <row r="53">
      <c r="A53" s="6" t="inlineStr">
        <is>
          <t>RET · Retención estudiantil</t>
        </is>
      </c>
      <c r="B53" s="6" t="inlineStr">
        <is>
          <t>RES · Resistencia al cambio</t>
        </is>
      </c>
      <c r="C53" s="23" t="n">
        <v>-2.001710330170687</v>
      </c>
      <c r="D53" s="6" t="inlineStr">
        <is>
          <t>Freno / Inhibición indirecta (-)</t>
        </is>
      </c>
    </row>
    <row r="54">
      <c r="A54" s="6" t="inlineStr">
        <is>
          <t>EXP · Experiencia estudiantil</t>
        </is>
      </c>
      <c r="B54" s="6" t="inlineStr">
        <is>
          <t>CUL · Cultura de innovación</t>
        </is>
      </c>
      <c r="C54" s="21" t="n">
        <v>1.984907004061643</v>
      </c>
      <c r="D54" s="6" t="inlineStr">
        <is>
          <t>Impulso / Refuerzo indirecto (+)</t>
        </is>
      </c>
    </row>
    <row r="55">
      <c r="A55" s="6" t="inlineStr">
        <is>
          <t>NOR · Normativa y acreditación</t>
        </is>
      </c>
      <c r="B55" s="6" t="inlineStr">
        <is>
          <t>CUL · Cultura de innovación</t>
        </is>
      </c>
      <c r="C55" s="21" t="n">
        <v>1.935230641643704</v>
      </c>
      <c r="D55" s="6" t="inlineStr">
        <is>
          <t>Impulso / Refuerzo indirecto (+)</t>
        </is>
      </c>
    </row>
    <row r="56">
      <c r="A56" s="6" t="inlineStr">
        <is>
          <t>EXP · Experiencia estudiantil</t>
        </is>
      </c>
      <c r="B56" s="6" t="inlineStr">
        <is>
          <t>RES · Resistencia al cambio</t>
        </is>
      </c>
      <c r="C56" s="23" t="n">
        <v>-1.935137650324372</v>
      </c>
      <c r="D56" s="6" t="inlineStr">
        <is>
          <t>Freno / Inhibición indirecta (-)</t>
        </is>
      </c>
    </row>
    <row r="57">
      <c r="A57" s="6" t="inlineStr">
        <is>
          <t>EXP · Experiencia estudiantil</t>
        </is>
      </c>
      <c r="B57" s="6" t="inlineStr">
        <is>
          <t>INV · Inversión y presupuesto</t>
        </is>
      </c>
      <c r="C57" s="21" t="n">
        <v>1.83883822134632</v>
      </c>
      <c r="D57" s="6" t="inlineStr">
        <is>
          <t>Impulso / Refuerzo indirecto (+)</t>
        </is>
      </c>
    </row>
    <row r="58">
      <c r="A58" s="6" t="inlineStr">
        <is>
          <t>LID · Liderazgo directivo</t>
        </is>
      </c>
      <c r="B58" s="6" t="inlineStr">
        <is>
          <t>INV · Inversión y presupuesto</t>
        </is>
      </c>
      <c r="C58" s="21" t="n">
        <v>1.802932733565338</v>
      </c>
      <c r="D58" s="6" t="inlineStr">
        <is>
          <t>Impulso / Refuerzo indirecto (+)</t>
        </is>
      </c>
    </row>
    <row r="59">
      <c r="A59" s="6" t="inlineStr">
        <is>
          <t>INF · Infraestructura tecnológica</t>
        </is>
      </c>
      <c r="B59" s="6" t="inlineStr">
        <is>
          <t>INV · Inversión y presupuesto</t>
        </is>
      </c>
      <c r="C59" s="21" t="n">
        <v>1.627893562063615</v>
      </c>
      <c r="D59" s="6" t="inlineStr">
        <is>
          <t>Impulso / Refuerzo indirecto (+)</t>
        </is>
      </c>
    </row>
    <row r="60">
      <c r="A60" s="6" t="inlineStr">
        <is>
          <t>RET · Retención estudiantil</t>
        </is>
      </c>
      <c r="B60" s="6" t="inlineStr">
        <is>
          <t>INF · Infraestructura tecnológica</t>
        </is>
      </c>
      <c r="C60" s="21" t="n">
        <v>1.578515852913601</v>
      </c>
      <c r="D60" s="6" t="inlineStr">
        <is>
          <t>Impulso / Refuerzo indirecto (+)</t>
        </is>
      </c>
    </row>
    <row r="61">
      <c r="A61" s="6" t="inlineStr">
        <is>
          <t>COM · Competencias docentes</t>
        </is>
      </c>
      <c r="B61" s="6" t="inlineStr">
        <is>
          <t>INF · Infraestructura tecnológica</t>
        </is>
      </c>
      <c r="C61" s="21" t="n">
        <v>1.477898581735794</v>
      </c>
      <c r="D61" s="6" t="inlineStr">
        <is>
          <t>Impulso / Refuerzo indirecto (+)</t>
        </is>
      </c>
    </row>
    <row r="62">
      <c r="A62" s="6" t="inlineStr">
        <is>
          <t>COM · Competencias docentes</t>
        </is>
      </c>
      <c r="B62" s="6" t="inlineStr">
        <is>
          <t>INV · Inversión y presupuesto</t>
        </is>
      </c>
      <c r="C62" s="21" t="n">
        <v>1.444109972427171</v>
      </c>
      <c r="D62" s="6" t="inlineStr">
        <is>
          <t>Impulso / Refuerzo indirecto (+)</t>
        </is>
      </c>
    </row>
    <row r="63">
      <c r="A63" s="6" t="inlineStr">
        <is>
          <t>CUL · Cultura de innovación</t>
        </is>
      </c>
      <c r="B63" s="6" t="inlineStr">
        <is>
          <t>INF · Infraestructura tecnológica</t>
        </is>
      </c>
      <c r="C63" s="21" t="n">
        <v>1.38607168653306</v>
      </c>
      <c r="D63" s="6" t="inlineStr">
        <is>
          <t>Impulso / Refuerzo indirecto (+)</t>
        </is>
      </c>
    </row>
    <row r="64">
      <c r="A64" s="6" t="inlineStr">
        <is>
          <t>INF · Infraestructura tecnológica</t>
        </is>
      </c>
      <c r="B64" s="6" t="inlineStr">
        <is>
          <t>LID · Liderazgo directivo</t>
        </is>
      </c>
      <c r="C64" s="21" t="n">
        <v>1.230029073737875</v>
      </c>
      <c r="D64" s="6" t="inlineStr">
        <is>
          <t>Impulso / Refuerzo indirecto (+)</t>
        </is>
      </c>
    </row>
    <row r="65">
      <c r="A65" s="6" t="inlineStr">
        <is>
          <t>NOR · Normativa y acreditación</t>
        </is>
      </c>
      <c r="B65" s="6" t="inlineStr">
        <is>
          <t>RET · Retención estudiantil</t>
        </is>
      </c>
      <c r="C65" s="21" t="n">
        <v>1.20469310463743</v>
      </c>
      <c r="D65" s="6" t="inlineStr">
        <is>
          <t>Impulso / Refuerzo indirecto (+)</t>
        </is>
      </c>
    </row>
    <row r="66">
      <c r="A66" s="6" t="inlineStr">
        <is>
          <t>COM · Competencias docentes</t>
        </is>
      </c>
      <c r="B66" s="6" t="inlineStr">
        <is>
          <t>LID · Liderazgo directivo</t>
        </is>
      </c>
      <c r="C66" s="21" t="n">
        <v>1.201259849953459</v>
      </c>
      <c r="D66" s="6" t="inlineStr">
        <is>
          <t>Impulso / Refuerzo indirecto (+)</t>
        </is>
      </c>
    </row>
    <row r="67">
      <c r="A67" s="6" t="inlineStr">
        <is>
          <t>EXP · Experiencia estudiantil</t>
        </is>
      </c>
      <c r="B67" s="6" t="inlineStr">
        <is>
          <t>RET · Retención estudiantil</t>
        </is>
      </c>
      <c r="C67" s="21" t="n">
        <v>1.147007377428629</v>
      </c>
      <c r="D67" s="6" t="inlineStr">
        <is>
          <t>Impulso / Refuerzo indirecto (+)</t>
        </is>
      </c>
    </row>
    <row r="68">
      <c r="A68" s="6" t="inlineStr">
        <is>
          <t>EXP · Experiencia estudiantil</t>
        </is>
      </c>
      <c r="B68" s="6" t="inlineStr">
        <is>
          <t>INF · Infraestructura tecnológica</t>
        </is>
      </c>
      <c r="C68" s="21" t="n">
        <v>1.143188511217501</v>
      </c>
      <c r="D68" s="6" t="inlineStr">
        <is>
          <t>Impulso / Refuerzo indirecto (+)</t>
        </is>
      </c>
    </row>
    <row r="69">
      <c r="A69" s="6" t="inlineStr">
        <is>
          <t>INV · Inversión y presupuesto</t>
        </is>
      </c>
      <c r="B69" s="6" t="inlineStr">
        <is>
          <t>LID · Liderazgo directivo</t>
        </is>
      </c>
      <c r="C69" s="21" t="n">
        <v>1.125311645450641</v>
      </c>
      <c r="D69" s="6" t="inlineStr">
        <is>
          <t>Impulso / Refuerzo indirecto (+)</t>
        </is>
      </c>
    </row>
    <row r="70">
      <c r="A70" s="6" t="inlineStr">
        <is>
          <t>NOR · Normativa y acreditación</t>
        </is>
      </c>
      <c r="B70" s="6" t="inlineStr">
        <is>
          <t>INF · Infraestructura tecnológica</t>
        </is>
      </c>
      <c r="C70" s="21" t="n">
        <v>1.122525008986613</v>
      </c>
      <c r="D70" s="6" t="inlineStr">
        <is>
          <t>Impulso / Refuerzo indirecto (+)</t>
        </is>
      </c>
    </row>
    <row r="71">
      <c r="A71" s="6" t="inlineStr">
        <is>
          <t>INV · Inversión y presupuesto</t>
        </is>
      </c>
      <c r="B71" s="6" t="inlineStr">
        <is>
          <t>INF · Infraestructura tecnológica</t>
        </is>
      </c>
      <c r="C71" s="21" t="n">
        <v>1.116051057350361</v>
      </c>
      <c r="D71" s="6" t="inlineStr">
        <is>
          <t>Impulso / Refuerzo indirecto (+)</t>
        </is>
      </c>
    </row>
    <row r="72">
      <c r="A72" s="6" t="inlineStr">
        <is>
          <t>CUL · Cultura de innovación</t>
        </is>
      </c>
      <c r="B72" s="6" t="inlineStr">
        <is>
          <t>INV · Inversión y presupuesto</t>
        </is>
      </c>
      <c r="C72" s="21" t="n">
        <v>1.090324157348167</v>
      </c>
      <c r="D72" s="6" t="inlineStr">
        <is>
          <t>Impulso / Refuerzo indirecto (+)</t>
        </is>
      </c>
    </row>
    <row r="73">
      <c r="A73" s="6" t="inlineStr">
        <is>
          <t>RET · Retención estudiantil</t>
        </is>
      </c>
      <c r="B73" s="6" t="inlineStr">
        <is>
          <t>INV · Inversión y presupuesto</t>
        </is>
      </c>
      <c r="C73" s="21" t="n">
        <v>1.041096955394631</v>
      </c>
      <c r="D73" s="6" t="inlineStr">
        <is>
          <t>Impulso / Refuerzo indirecto (+)</t>
        </is>
      </c>
    </row>
    <row r="74">
      <c r="A74" s="6" t="inlineStr">
        <is>
          <t>RES · Resistencia al cambio</t>
        </is>
      </c>
      <c r="B74" s="6" t="inlineStr">
        <is>
          <t>INF · Infraestructura tecnológica</t>
        </is>
      </c>
      <c r="C74" s="23" t="n">
        <v>-1.037643665219621</v>
      </c>
      <c r="D74" s="6" t="inlineStr">
        <is>
          <t>Freno / Inhibición indirecta (-)</t>
        </is>
      </c>
    </row>
    <row r="75">
      <c r="A75" s="6" t="inlineStr">
        <is>
          <t>RES · Resistencia al cambio</t>
        </is>
      </c>
      <c r="B75" s="6" t="inlineStr">
        <is>
          <t>INV · Inversión y presupuesto</t>
        </is>
      </c>
      <c r="C75" s="23" t="n">
        <v>-1.011061852673228</v>
      </c>
      <c r="D75" s="6" t="inlineStr">
        <is>
          <t>Freno / Inhibición indirecta (-)</t>
        </is>
      </c>
    </row>
    <row r="76">
      <c r="A76" s="6" t="inlineStr">
        <is>
          <t>NOR · Normativa y acreditación</t>
        </is>
      </c>
      <c r="B76" s="6" t="inlineStr">
        <is>
          <t>INV · Inversión y presupuesto</t>
        </is>
      </c>
      <c r="C76" s="21" t="n">
        <v>0.9012715528962917</v>
      </c>
      <c r="D76" s="6" t="inlineStr">
        <is>
          <t>Impulso / Refuerzo indirecto (+)</t>
        </is>
      </c>
    </row>
    <row r="77">
      <c r="A77" s="6" t="inlineStr">
        <is>
          <t>CUL · Cultura de innovación</t>
        </is>
      </c>
      <c r="B77" s="6" t="inlineStr">
        <is>
          <t>LID · Liderazgo directivo</t>
        </is>
      </c>
      <c r="C77" s="21" t="n">
        <v>0.9007613169109756</v>
      </c>
      <c r="D77" s="6" t="inlineStr">
        <is>
          <t>Impulso / Refuerzo indirecto (+)</t>
        </is>
      </c>
    </row>
    <row r="78">
      <c r="A78" s="6" t="inlineStr">
        <is>
          <t>RES · Resistencia al cambio</t>
        </is>
      </c>
      <c r="B78" s="6" t="inlineStr">
        <is>
          <t>LID · Liderazgo directivo</t>
        </is>
      </c>
      <c r="C78" s="23" t="n">
        <v>-0.8201839968606749</v>
      </c>
      <c r="D78" s="6" t="inlineStr">
        <is>
          <t>Freno / Inhibición indirecta (-)</t>
        </is>
      </c>
    </row>
    <row r="79">
      <c r="A79" s="6" t="inlineStr">
        <is>
          <t>EXP · Experiencia estudiantil</t>
        </is>
      </c>
      <c r="B79" s="6" t="inlineStr">
        <is>
          <t>LID · Liderazgo directivo</t>
        </is>
      </c>
      <c r="C79" s="21" t="n">
        <v>0.80575766860859</v>
      </c>
      <c r="D79" s="6" t="inlineStr">
        <is>
          <t>Impulso / Refuerzo indirecto (+)</t>
        </is>
      </c>
    </row>
    <row r="80">
      <c r="A80" s="6" t="inlineStr">
        <is>
          <t>RET · Retención estudiantil</t>
        </is>
      </c>
      <c r="B80" s="6" t="inlineStr">
        <is>
          <t>LID · Liderazgo directivo</t>
        </is>
      </c>
      <c r="C80" s="21" t="n">
        <v>0.5319294592974771</v>
      </c>
      <c r="D80" s="6" t="inlineStr">
        <is>
          <t>Impulso / Refuerzo indirecto (+)</t>
        </is>
      </c>
    </row>
    <row r="81">
      <c r="A81" s="6" t="inlineStr">
        <is>
          <t>NOR · Normativa y acreditación</t>
        </is>
      </c>
      <c r="B81" s="6" t="inlineStr">
        <is>
          <t>LID · Liderazgo directivo</t>
        </is>
      </c>
      <c r="C81" s="21" t="n">
        <v>0.453476626718634</v>
      </c>
      <c r="D81" s="6" t="inlineStr">
        <is>
          <t>Impulso / Refuerzo indirecto (+)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2" customWidth="1" min="3" max="3"/>
    <col width="16" customWidth="1" min="4" max="4"/>
    <col width="21" customWidth="1" min="5" max="5"/>
    <col width="21" customWidth="1" min="6" max="6"/>
    <col width="17" customWidth="1" min="7" max="7"/>
    <col width="11" customWidth="1" min="8" max="8"/>
    <col width="21" customWidth="1" min="9" max="9"/>
    <col width="25" customWidth="1" min="10" max="10"/>
    <col width="38" customWidth="1" min="11" max="11"/>
    <col width="21" customWidth="1" min="12" max="12"/>
    <col width="65" customWidth="1" min="13" max="13"/>
  </cols>
  <sheetData>
    <row r="1">
      <c r="A1" s="1" t="inlineStr">
        <is>
          <t>NUEVO ANÁLISIS · TABLERO DE INDICADORES ESTRUCTURALES 4D</t>
        </is>
      </c>
    </row>
    <row r="2">
      <c r="A2" s="2" t="inlineStr">
        <is>
          <t>Comparación Clásico vs. Dinámico, Índice de Retorno F, Ambigüedad Ω, Trampas de Política y Cuadrantes.</t>
        </is>
      </c>
    </row>
    <row r="3"/>
    <row r="4">
      <c r="A4" s="27" t="inlineStr">
        <is>
          <t>Variable</t>
        </is>
      </c>
      <c r="B4" s="27" t="inlineStr">
        <is>
          <t>Motricidad Clásica</t>
        </is>
      </c>
      <c r="C4" s="27" t="inlineStr">
        <is>
          <t>Dependencia Clásica</t>
        </is>
      </c>
      <c r="D4" s="27" t="inlineStr">
        <is>
          <t>Rango Clásico</t>
        </is>
      </c>
      <c r="E4" s="27" t="inlineStr">
        <is>
          <t>Motricidad Neta</t>
        </is>
      </c>
      <c r="F4" s="27" t="inlineStr">
        <is>
          <t>Dependencia Neta</t>
        </is>
      </c>
      <c r="G4" s="27" t="inlineStr">
        <is>
          <t>Rango Dinámico</t>
        </is>
      </c>
      <c r="H4" s="27" t="inlineStr">
        <is>
          <t>Δ Rango</t>
        </is>
      </c>
      <c r="I4" s="27" t="inlineStr">
        <is>
          <t>Bucle Propio (F)</t>
        </is>
      </c>
      <c r="J4" s="27" t="inlineStr">
        <is>
          <t>Ambigüedad Ω (%)</t>
        </is>
      </c>
      <c r="K4" s="27" t="inlineStr">
        <is>
          <t>Cuadrante Dinámico</t>
        </is>
      </c>
      <c r="L4" s="27" t="inlineStr">
        <is>
          <t>Trampa de Política</t>
        </is>
      </c>
      <c r="M4" s="27" t="inlineStr">
        <is>
          <t>Rol Estratégico Diagnóstico</t>
        </is>
      </c>
    </row>
    <row r="5">
      <c r="A5" s="5" t="inlineStr">
        <is>
          <t>LID · Liderazgo directivo</t>
        </is>
      </c>
      <c r="B5" s="13" t="n">
        <v>10</v>
      </c>
      <c r="C5" s="13" t="n">
        <v>3</v>
      </c>
      <c r="D5" s="4" t="n">
        <v>1</v>
      </c>
      <c r="E5" s="28" t="n">
        <v>43.9492450288867</v>
      </c>
      <c r="F5" s="28" t="n">
        <v>9.369076831979745</v>
      </c>
      <c r="G5" s="4" t="n">
        <v>1</v>
      </c>
      <c r="H5" s="4" t="n">
        <v>0</v>
      </c>
      <c r="I5" s="21" t="n">
        <v>1.46592057393983</v>
      </c>
      <c r="J5" s="13" t="n">
        <v>3.227821707752609</v>
      </c>
      <c r="K5" s="6" t="inlineStr">
        <is>
          <t>Variable motriz / de entrada</t>
        </is>
      </c>
      <c r="L5" s="4" t="inlineStr">
        <is>
          <t>No</t>
        </is>
      </c>
      <c r="M5" s="6" t="inlineStr">
        <is>
          <t>Palanca maestra consistente</t>
        </is>
      </c>
    </row>
    <row r="6">
      <c r="A6" s="5" t="inlineStr">
        <is>
          <t>INV · Inversión y presupuesto</t>
        </is>
      </c>
      <c r="B6" s="13" t="n">
        <v>6</v>
      </c>
      <c r="C6" s="13" t="n">
        <v>6</v>
      </c>
      <c r="D6" s="4" t="n">
        <v>3</v>
      </c>
      <c r="E6" s="28" t="n">
        <v>24.47934017483544</v>
      </c>
      <c r="F6" s="28" t="n">
        <v>16.01218796775074</v>
      </c>
      <c r="G6" s="4" t="n">
        <v>2</v>
      </c>
      <c r="H6" s="29" t="n">
        <v>1</v>
      </c>
      <c r="I6" s="21" t="n">
        <v>1.418498526558171</v>
      </c>
      <c r="J6" s="13" t="n">
        <v>5.477285355406258</v>
      </c>
      <c r="K6" s="6" t="inlineStr">
        <is>
          <t>Variable motriz / de entrada</t>
        </is>
      </c>
      <c r="L6" s="4" t="inlineStr">
        <is>
          <t>No</t>
        </is>
      </c>
      <c r="M6" s="6" t="inlineStr">
        <is>
          <t>Palanca maestra consistente</t>
        </is>
      </c>
    </row>
    <row r="7">
      <c r="A7" s="5" t="inlineStr">
        <is>
          <t>INF · Infraestructura tecnológica</t>
        </is>
      </c>
      <c r="B7" s="13" t="n">
        <v>6</v>
      </c>
      <c r="C7" s="13" t="n">
        <v>4</v>
      </c>
      <c r="D7" s="4" t="n">
        <v>3</v>
      </c>
      <c r="E7" s="28" t="n">
        <v>21.82293547504057</v>
      </c>
      <c r="F7" s="28" t="n">
        <v>15.7987018760697</v>
      </c>
      <c r="G7" s="4" t="n">
        <v>4</v>
      </c>
      <c r="H7" s="30" t="n">
        <v>-1</v>
      </c>
      <c r="I7" s="21" t="n">
        <v>1.170937222634377</v>
      </c>
      <c r="J7" s="13" t="n">
        <v>5.09238803758697</v>
      </c>
      <c r="K7" s="6" t="inlineStr">
        <is>
          <t>Variable autónoma</t>
        </is>
      </c>
      <c r="L7" s="4" t="inlineStr">
        <is>
          <t>No</t>
        </is>
      </c>
      <c r="M7" s="6" t="inlineStr">
        <is>
          <t>Palanca maestra consistente</t>
        </is>
      </c>
    </row>
    <row r="8">
      <c r="A8" s="5" t="inlineStr">
        <is>
          <t>COM · Competencias docentes</t>
        </is>
      </c>
      <c r="B8" s="13" t="n">
        <v>7</v>
      </c>
      <c r="C8" s="13" t="n">
        <v>9</v>
      </c>
      <c r="D8" s="4" t="n">
        <v>2</v>
      </c>
      <c r="E8" s="28" t="n">
        <v>23.64617665946394</v>
      </c>
      <c r="F8" s="28" t="n">
        <v>34.27579955718877</v>
      </c>
      <c r="G8" s="4" t="n">
        <v>3</v>
      </c>
      <c r="H8" s="30" t="n">
        <v>-1</v>
      </c>
      <c r="I8" s="21" t="n">
        <v>3.958993217981114</v>
      </c>
      <c r="J8" s="13" t="n">
        <v>14.34149195805466</v>
      </c>
      <c r="K8" s="6" t="inlineStr">
        <is>
          <t>Variable de enlace / reto</t>
        </is>
      </c>
      <c r="L8" s="4" t="inlineStr">
        <is>
          <t>No</t>
        </is>
      </c>
      <c r="M8" s="6" t="inlineStr">
        <is>
          <t>Falsa variable clave (espejismo); Nodo de efecto bola de nieve</t>
        </is>
      </c>
    </row>
    <row r="9">
      <c r="A9" s="5" t="inlineStr">
        <is>
          <t>CUL · Cultura de innovación</t>
        </is>
      </c>
      <c r="B9" s="13" t="n">
        <v>6</v>
      </c>
      <c r="C9" s="13" t="n">
        <v>9</v>
      </c>
      <c r="D9" s="4" t="n">
        <v>3</v>
      </c>
      <c r="E9" s="28" t="n">
        <v>21.2514060876285</v>
      </c>
      <c r="F9" s="28" t="n">
        <v>31.15971242356779</v>
      </c>
      <c r="G9" s="4" t="n">
        <v>5</v>
      </c>
      <c r="H9" s="30" t="n">
        <v>-2</v>
      </c>
      <c r="I9" s="21" t="n">
        <v>3.67922000145532</v>
      </c>
      <c r="J9" s="13" t="n">
        <v>14.75783234768545</v>
      </c>
      <c r="K9" s="6" t="inlineStr">
        <is>
          <t>Variable dependiente / de resultado</t>
        </is>
      </c>
      <c r="L9" s="4" t="inlineStr">
        <is>
          <t>No</t>
        </is>
      </c>
      <c r="M9" s="6" t="inlineStr">
        <is>
          <t>Falsa variable clave (espejismo); Nodo de efecto bola de nieve</t>
        </is>
      </c>
    </row>
    <row r="10">
      <c r="A10" s="5" t="inlineStr">
        <is>
          <t>EXP · Experiencia estudiantil</t>
        </is>
      </c>
      <c r="B10" s="13" t="n">
        <v>4</v>
      </c>
      <c r="C10" s="13" t="n">
        <v>8</v>
      </c>
      <c r="D10" s="4" t="n">
        <v>7</v>
      </c>
      <c r="E10" s="28" t="n">
        <v>14.56170975670292</v>
      </c>
      <c r="F10" s="28" t="n">
        <v>38.57789390494348</v>
      </c>
      <c r="G10" s="4" t="n">
        <v>9</v>
      </c>
      <c r="H10" s="30" t="n">
        <v>-2</v>
      </c>
      <c r="I10" s="21" t="n">
        <v>2.14738170378525</v>
      </c>
      <c r="J10" s="13" t="n">
        <v>12.85157669322203</v>
      </c>
      <c r="K10" s="6" t="inlineStr">
        <is>
          <t>Variable dependiente / de resultado</t>
        </is>
      </c>
      <c r="L10" s="4" t="inlineStr">
        <is>
          <t>No</t>
        </is>
      </c>
      <c r="M10" s="6" t="inlineStr">
        <is>
          <t>Variable de evolución regular</t>
        </is>
      </c>
    </row>
    <row r="11">
      <c r="A11" s="5" t="inlineStr">
        <is>
          <t>RES · Resistencia al cambio</t>
        </is>
      </c>
      <c r="B11" s="13" t="n">
        <v>5</v>
      </c>
      <c r="C11" s="13" t="n">
        <v>7</v>
      </c>
      <c r="D11" s="4" t="n">
        <v>6</v>
      </c>
      <c r="E11" s="28" t="n">
        <v>19.97941608512383</v>
      </c>
      <c r="F11" s="28" t="n">
        <v>30.99871647522389</v>
      </c>
      <c r="G11" s="4" t="n">
        <v>6</v>
      </c>
      <c r="H11" s="4" t="n">
        <v>0</v>
      </c>
      <c r="I11" s="21" t="n">
        <v>3.730493173481435</v>
      </c>
      <c r="J11" s="13" t="n">
        <v>15.73389899047165</v>
      </c>
      <c r="K11" s="6" t="inlineStr">
        <is>
          <t>Variable dependiente / de resultado</t>
        </is>
      </c>
      <c r="L11" s="4" t="inlineStr">
        <is>
          <t>No</t>
        </is>
      </c>
      <c r="M11" s="6" t="inlineStr">
        <is>
          <t>Falsa variable clave (espejismo); Nodo de efecto bola de nieve</t>
        </is>
      </c>
    </row>
    <row r="12">
      <c r="A12" s="5" t="inlineStr">
        <is>
          <t>RET · Retención estudiantil</t>
        </is>
      </c>
      <c r="B12" s="13" t="n">
        <v>3</v>
      </c>
      <c r="C12" s="13" t="n">
        <v>4</v>
      </c>
      <c r="D12" s="4" t="n">
        <v>8</v>
      </c>
      <c r="E12" s="28" t="n">
        <v>14.96589473882904</v>
      </c>
      <c r="F12" s="28" t="n">
        <v>23.19517771778834</v>
      </c>
      <c r="G12" s="4" t="n">
        <v>7</v>
      </c>
      <c r="H12" s="29" t="n">
        <v>1</v>
      </c>
      <c r="I12" s="21" t="n">
        <v>1.437196761034053</v>
      </c>
      <c r="J12" s="13" t="n">
        <v>8.761743242400676</v>
      </c>
      <c r="K12" s="6" t="inlineStr">
        <is>
          <t>Variable dependiente / de resultado</t>
        </is>
      </c>
      <c r="L12" s="4" t="inlineStr">
        <is>
          <t>No</t>
        </is>
      </c>
      <c r="M12" s="6" t="inlineStr">
        <is>
          <t>Variable de evolución regular</t>
        </is>
      </c>
    </row>
    <row r="13">
      <c r="A13" s="5" t="inlineStr">
        <is>
          <t>NOR · Normativa y acreditación</t>
        </is>
      </c>
      <c r="B13" s="13" t="n">
        <v>3</v>
      </c>
      <c r="C13" s="13" t="n">
        <v>0</v>
      </c>
      <c r="D13" s="4" t="n">
        <v>8</v>
      </c>
      <c r="E13" s="28" t="n">
        <v>14.73114274800151</v>
      </c>
      <c r="F13" s="28" t="n">
        <v>0</v>
      </c>
      <c r="G13" s="4" t="n">
        <v>8</v>
      </c>
      <c r="H13" s="4" t="n">
        <v>0</v>
      </c>
      <c r="I13" s="22" t="n">
        <v>0</v>
      </c>
      <c r="J13" s="13" t="n">
        <v>1.110223024625157e-14</v>
      </c>
      <c r="K13" s="6" t="inlineStr">
        <is>
          <t>Variable autónoma</t>
        </is>
      </c>
      <c r="L13" s="4" t="inlineStr">
        <is>
          <t>No</t>
        </is>
      </c>
      <c r="M13" s="6" t="inlineStr">
        <is>
          <t>Variable de evolución regular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1" workbookViewId="0">
      <selection activeCell="A1" sqref="A1"/>
    </sheetView>
  </sheetViews>
  <sheetFormatPr baseColWidth="8" defaultRowHeight="15"/>
  <cols>
    <col width="210" customWidth="1" min="1" max="1"/>
    <col width="116" customWidth="1" min="2" max="2"/>
  </cols>
  <sheetData>
    <row r="1">
      <c r="A1" s="1" t="inlineStr">
        <is>
          <t>INFORME EJECUTIVO · DIAGNÓSTICO ESTRATÉGICO Y RECOMENDACIONES</t>
        </is>
      </c>
    </row>
    <row r="2">
      <c r="A2" s="2" t="inlineStr">
        <is>
          <t>Interpretación analítica de la dinámica del sistema para la toma de decisiones</t>
        </is>
      </c>
    </row>
    <row r="3"/>
    <row r="4">
      <c r="A4" s="25" t="inlineStr">
        <is>
          <t>1. PARÁMETROS DEL MODELO MATEMÁTICO</t>
        </is>
      </c>
    </row>
    <row r="5">
      <c r="A5" s="25" t="inlineStr">
        <is>
          <t>Tasa de fricción temporal (λ)</t>
        </is>
      </c>
      <c r="B5" t="inlineStr">
        <is>
          <t>0.10 (Decaimiento exponencial w_ij = a_ij · e^(-λt))</t>
        </is>
      </c>
    </row>
    <row r="6">
      <c r="A6" s="25" t="inlineStr">
        <is>
          <t>Radio espectral de |W| ρ(|W|)</t>
        </is>
      </c>
      <c r="B6" t="inlineStr">
        <is>
          <t>4.7184</t>
        </is>
      </c>
    </row>
    <row r="7">
      <c r="A7" s="25" t="inlineStr">
        <is>
          <t>Parámetro de Katz α</t>
        </is>
      </c>
      <c r="B7" t="inlineStr">
        <is>
          <t>0.1695 (Garantiza convergencia α · ρ = 0.80 &lt; 1)</t>
        </is>
      </c>
    </row>
    <row r="8">
      <c r="A8" s="25" t="inlineStr">
        <is>
          <t>Ambigüedad promedio del sistema Ω</t>
        </is>
      </c>
      <c r="B8" t="inlineStr">
        <is>
          <t>8.9 %</t>
        </is>
      </c>
    </row>
    <row r="9"/>
    <row r="10">
      <c r="A10" s="25" t="inlineStr">
        <is>
          <t>2. CLASIFICACIÓN PROSPECTIVA POR ROLES ESTRATÉGICOS</t>
        </is>
      </c>
    </row>
    <row r="11">
      <c r="A11" s="31" t="inlineStr">
        <is>
          <t>• PALANCAS MAESTRAS CONSISTENTES (Alta motricidad neta y baja ambigüedad causal):</t>
        </is>
      </c>
    </row>
    <row r="12">
      <c r="A12" t="inlineStr">
        <is>
          <t xml:space="preserve">   - LID · Liderazgo directivo</t>
        </is>
      </c>
      <c r="B12" t="inlineStr">
        <is>
          <t>Motricidad neta: 43.95 | Ω: 3.2% | Efecto directo de alta tracción y baja contradicción.</t>
        </is>
      </c>
    </row>
    <row r="13">
      <c r="A13" t="inlineStr">
        <is>
          <t xml:space="preserve">   - INV · Inversión y presupuesto</t>
        </is>
      </c>
      <c r="B13" t="inlineStr">
        <is>
          <t>Motricidad neta: 24.48 | Ω: 5.5% | Efecto directo de alta tracción y baja contradicción.</t>
        </is>
      </c>
    </row>
    <row r="14">
      <c r="A14" t="inlineStr">
        <is>
          <t xml:space="preserve">   - INF · Infraestructura tecnológica</t>
        </is>
      </c>
      <c r="B14" t="inlineStr">
        <is>
          <t>Motricidad neta: 21.82 | Ω: 5.1% | Efecto directo de alta tracción y baja contradicción.</t>
        </is>
      </c>
    </row>
    <row r="15"/>
    <row r="16">
      <c r="A16" s="32" t="inlineStr">
        <is>
          <t>• FALSAS VARIABLES CLAVE O ESPEJISMOS (Alta motricidad bruta pero severa contradicción Ω):</t>
        </is>
      </c>
    </row>
    <row r="17">
      <c r="A17" t="inlineStr">
        <is>
          <t xml:space="preserve">   - COM · Competencias docentes</t>
        </is>
      </c>
      <c r="B17" t="inlineStr">
        <is>
          <t>Motricidad bruta: 27.61 | Motricidad neta: 23.65 | Ω: 14.3% | Sus efectos se disipan o anulan en bucles opuestos.</t>
        </is>
      </c>
    </row>
    <row r="18">
      <c r="A18" t="inlineStr">
        <is>
          <t xml:space="preserve">   - CUL · Cultura de innovación</t>
        </is>
      </c>
      <c r="B18" t="inlineStr">
        <is>
          <t>Motricidad bruta: 24.93 | Motricidad neta: 21.25 | Ω: 14.8% | Sus efectos se disipan o anulan en bucles opuestos.</t>
        </is>
      </c>
    </row>
    <row r="19">
      <c r="A19" t="inlineStr">
        <is>
          <t xml:space="preserve">   - RES · Resistencia al cambio</t>
        </is>
      </c>
      <c r="B19" t="inlineStr">
        <is>
          <t>Motricidad bruta: 23.71 | Motricidad neta: 19.98 | Ω: 15.7% | Sus efectos se disipan o anulan en bucles opuestos.</t>
        </is>
      </c>
    </row>
    <row r="20"/>
    <row r="21">
      <c r="A21" s="33" t="inlineStr">
        <is>
          <t>• NODOS DE EFECTO BOLA DE NIEVE (Bucle propio F &gt; 0 alto: refuerzo expansivo):</t>
        </is>
      </c>
    </row>
    <row r="22">
      <c r="A22" t="inlineStr">
        <is>
          <t xml:space="preserve">   - COM · Competencias docentes</t>
        </is>
      </c>
      <c r="B22" t="inlineStr">
        <is>
          <t>Bucle propio F: +3.959 | Toda inyección sobre este nodo regresa amplificada al punto de partida.</t>
        </is>
      </c>
    </row>
    <row r="23">
      <c r="A23" t="inlineStr">
        <is>
          <t xml:space="preserve">   - CUL · Cultura de innovación</t>
        </is>
      </c>
      <c r="B23" t="inlineStr">
        <is>
          <t>Bucle propio F: +3.679 | Toda inyección sobre este nodo regresa amplificada al punto de partida.</t>
        </is>
      </c>
    </row>
    <row r="24">
      <c r="A24" t="inlineStr">
        <is>
          <t xml:space="preserve">   - RES · Resistencia al cambio</t>
        </is>
      </c>
      <c r="B24" t="inlineStr">
        <is>
          <t>Bucle propio F: +3.730 | Toda inyección sobre este nodo regresa amplificada al punto de partida.</t>
        </is>
      </c>
    </row>
    <row r="25"/>
    <row r="26">
      <c r="A26" s="34" t="inlineStr">
        <is>
          <t>• ESTABILIZADORES HOMEOSTÁTICOS (Bucle propio F &lt; 0: autorregulación y freno):</t>
        </is>
      </c>
    </row>
    <row r="27"/>
    <row r="28"/>
    <row r="29">
      <c r="A29" s="25" t="inlineStr">
        <is>
          <t>3. DIRECTRICES PARA LA TOMA DE DECISIONES</t>
        </is>
      </c>
    </row>
    <row r="30">
      <c r="A30" t="inlineStr">
        <is>
          <t>1. Priorizar inversión y foco directivo en las Palancas Maestras Consistentes, pues garantizan traslación efectiva al resto del sistema sin pérdida por contra-reacciones.</t>
        </is>
      </c>
    </row>
    <row r="31">
      <c r="A31" t="inlineStr">
        <is>
          <t>2. Evitar el error clásico de focalizarse en 'Espejismos' basándose únicamente en la suma directa de la matriz Godet, ya que desencadenan respuestas compensatorias de resistencia que neutralizan el esfuerzo.</t>
        </is>
      </c>
    </row>
    <row r="32">
      <c r="A32" t="inlineStr">
        <is>
          <t>3. Activar y proteger los nodos de bucle expansivo cuando se busque una transformación acelerada, monitoreando simultáneamente la fatiga y resistencia de los actores involucrados.</t>
        </is>
      </c>
    </row>
    <row r="33">
      <c r="A33" t="inlineStr">
        <is>
          <t>4. Evaluar las variables dependientes (Experiencia y Retención) como indicadores de tablero de control y nunca como variables de acción directa.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TABLERO DE GRÁFICOS ESTRUCTURALES Y PROSPECTIVOS</t>
        </is>
      </c>
    </row>
    <row r="2">
      <c r="A2" s="2" t="inlineStr">
        <is>
          <t>Visualizaciones nativas interactivas en Excel: planos de cuadrantes, desplazamientos de motricidad, bucles propios y contradicción.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2026-10-21T17:51:44Z</dcterms:created>
  <dcterms:modified xsi:type="dcterms:W3CDTF">2026-10-21T17:51:44Z</dcterms:modified>
</cp:coreProperties>
</file>